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7.30.10.3\02.cepsa\Valencia\33450 La Senyera I\02 Legalización 12-20\00 Pedido\"/>
    </mc:Choice>
  </mc:AlternateContent>
  <xr:revisionPtr revIDLastSave="0" documentId="13_ncr:1_{AA335969-A133-4BB5-9034-5E5B78EBE3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supuesto Ciete" sheetId="1" r:id="rId1"/>
    <sheet name="Exportar CSV Comas" sheetId="3" r:id="rId2"/>
    <sheet name="Cuadro" sheetId="5" r:id="rId3"/>
    <sheet name="TARIFARIO" sheetId="2" r:id="rId4"/>
    <sheet name="Listado ES" sheetId="6" r:id="rId5"/>
  </sheets>
  <definedNames>
    <definedName name="_xlnm._FilterDatabase" localSheetId="4" hidden="1">'Listado ES'!$A$1:$F$1985</definedName>
    <definedName name="_xlnm._FilterDatabase" localSheetId="3" hidden="1">TARIFARIO!$B$1:$E$173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3" l="1"/>
  <c r="T11" i="3" s="1"/>
  <c r="D14" i="5"/>
  <c r="E14" i="5"/>
  <c r="B11" i="3"/>
  <c r="C11" i="3"/>
  <c r="S11" i="3"/>
  <c r="A12" i="3"/>
  <c r="T12" i="3" s="1"/>
  <c r="B12" i="3"/>
  <c r="C12" i="3"/>
  <c r="S12" i="3"/>
  <c r="A13" i="3"/>
  <c r="T13" i="3" s="1"/>
  <c r="B13" i="3"/>
  <c r="C13" i="3"/>
  <c r="S13" i="3"/>
  <c r="A14" i="3"/>
  <c r="T14" i="3" s="1"/>
  <c r="B14" i="3"/>
  <c r="C14" i="3"/>
  <c r="S14" i="3"/>
  <c r="A15" i="3"/>
  <c r="T15" i="3" s="1"/>
  <c r="B15" i="3"/>
  <c r="C15" i="3"/>
  <c r="S15" i="3"/>
  <c r="A16" i="3"/>
  <c r="T16" i="3" s="1"/>
  <c r="B16" i="3"/>
  <c r="C16" i="3"/>
  <c r="S16" i="3"/>
  <c r="B3" i="3"/>
  <c r="C3" i="3"/>
  <c r="D10" i="5" s="1"/>
  <c r="S3" i="3"/>
  <c r="E10" i="5" s="1"/>
  <c r="B4" i="3"/>
  <c r="C4" i="3"/>
  <c r="D11" i="5" s="1"/>
  <c r="S4" i="3"/>
  <c r="E11" i="5" s="1"/>
  <c r="B5" i="3"/>
  <c r="C5" i="3"/>
  <c r="D12" i="5" s="1"/>
  <c r="S5" i="3"/>
  <c r="E12" i="5" s="1"/>
  <c r="B6" i="3"/>
  <c r="C6" i="3"/>
  <c r="D13" i="5" s="1"/>
  <c r="S6" i="3"/>
  <c r="E13" i="5" s="1"/>
  <c r="B7" i="3"/>
  <c r="C7" i="3"/>
  <c r="S7" i="3"/>
  <c r="B8" i="3"/>
  <c r="C8" i="3"/>
  <c r="D15" i="5" s="1"/>
  <c r="S8" i="3"/>
  <c r="E15" i="5" s="1"/>
  <c r="B9" i="3"/>
  <c r="C9" i="3"/>
  <c r="D16" i="5" s="1"/>
  <c r="S9" i="3"/>
  <c r="E16" i="5" s="1"/>
  <c r="B10" i="3"/>
  <c r="C10" i="3"/>
  <c r="D17" i="5" s="1"/>
  <c r="S10" i="3"/>
  <c r="E17" i="5" s="1"/>
  <c r="B2" i="3"/>
  <c r="C2" i="3"/>
  <c r="S2" i="3"/>
  <c r="E9" i="1"/>
  <c r="F9" i="1" s="1"/>
  <c r="C9" i="1"/>
  <c r="A2" i="3" s="1"/>
  <c r="T2" i="3" s="1"/>
  <c r="E24" i="1"/>
  <c r="F24" i="1" s="1"/>
  <c r="C24" i="1"/>
  <c r="A10" i="3" s="1"/>
  <c r="C13" i="1"/>
  <c r="A4" i="3" s="1"/>
  <c r="E13" i="1"/>
  <c r="F13" i="1" s="1"/>
  <c r="T4" i="3" l="1"/>
  <c r="C11" i="5"/>
  <c r="T10" i="3"/>
  <c r="C17" i="5"/>
  <c r="I9" i="5"/>
  <c r="H9" i="5" l="1"/>
  <c r="C19" i="5" s="1"/>
  <c r="I5" i="5"/>
  <c r="I6" i="5"/>
  <c r="I4" i="5"/>
  <c r="E15" i="1"/>
  <c r="E16" i="1"/>
  <c r="E18" i="1"/>
  <c r="E20" i="1"/>
  <c r="E22" i="1"/>
  <c r="C15" i="1"/>
  <c r="A5" i="3" s="1"/>
  <c r="C16" i="1"/>
  <c r="A6" i="3" s="1"/>
  <c r="C18" i="1"/>
  <c r="A7" i="3" s="1"/>
  <c r="C20" i="1"/>
  <c r="A8" i="3" s="1"/>
  <c r="C22" i="1"/>
  <c r="A9" i="3" s="1"/>
  <c r="E11" i="1"/>
  <c r="C11" i="1"/>
  <c r="A3" i="3" s="1"/>
  <c r="T7" i="3" l="1"/>
  <c r="C14" i="5"/>
  <c r="T6" i="3"/>
  <c r="C13" i="5"/>
  <c r="T5" i="3"/>
  <c r="C12" i="5"/>
  <c r="T3" i="3"/>
  <c r="C10" i="5"/>
  <c r="T9" i="3"/>
  <c r="C16" i="5"/>
  <c r="T8" i="3"/>
  <c r="C15" i="5"/>
  <c r="B3" i="1"/>
  <c r="F18" i="1"/>
  <c r="F20" i="1"/>
  <c r="F22" i="1"/>
  <c r="F11" i="1" l="1"/>
  <c r="F16" i="1"/>
  <c r="B2" i="1" l="1"/>
  <c r="F15" i="1" l="1"/>
  <c r="F29" i="1" s="1"/>
  <c r="D9" i="5" l="1"/>
  <c r="C18" i="5" l="1"/>
  <c r="C9" i="5" l="1"/>
  <c r="E9" i="5" l="1"/>
  <c r="C20" i="5"/>
</calcChain>
</file>

<file path=xl/sharedStrings.xml><?xml version="1.0" encoding="utf-8"?>
<sst xmlns="http://schemas.openxmlformats.org/spreadsheetml/2006/main" count="10440" uniqueCount="6268">
  <si>
    <t>OFERTA PRECIOS ACUERDO MARCO</t>
  </si>
  <si>
    <t>Item</t>
  </si>
  <si>
    <t>Unidades</t>
  </si>
  <si>
    <t>Precio unidad</t>
  </si>
  <si>
    <t>Total</t>
  </si>
  <si>
    <t>Cantidad</t>
  </si>
  <si>
    <t>Total:</t>
  </si>
  <si>
    <t>Localidad:</t>
  </si>
  <si>
    <t>Producto</t>
  </si>
  <si>
    <t>Posición de la cesta</t>
  </si>
  <si>
    <t>Fecha de entrega</t>
  </si>
  <si>
    <t>Mercado</t>
  </si>
  <si>
    <t>Características</t>
  </si>
  <si>
    <t>Nota interna</t>
  </si>
  <si>
    <t>Tipo de Multi-imputación</t>
  </si>
  <si>
    <t>% Cantidad, Valor de Multi-imputación</t>
  </si>
  <si>
    <t>Tipo de imputación</t>
  </si>
  <si>
    <t>Elemento de imputación</t>
  </si>
  <si>
    <t>Cuenta de mayor</t>
  </si>
  <si>
    <t>Indicador de IVA</t>
  </si>
  <si>
    <t xml:space="preserve">Documento presupuestario </t>
  </si>
  <si>
    <t>Contrato</t>
  </si>
  <si>
    <t>Tangible/intangible</t>
  </si>
  <si>
    <t>Aprobadores</t>
  </si>
  <si>
    <t>Almacen</t>
  </si>
  <si>
    <t>Texto Proveedor</t>
  </si>
  <si>
    <t>CLIENTE</t>
  </si>
  <si>
    <t>E.S. Nº:</t>
  </si>
  <si>
    <t>Nombre:</t>
  </si>
  <si>
    <t>Descripción</t>
  </si>
  <si>
    <t>APROBADO POR:</t>
  </si>
  <si>
    <t>César García Villalonga</t>
  </si>
  <si>
    <t>Trabajo encargado por:</t>
  </si>
  <si>
    <t>Dirección</t>
  </si>
  <si>
    <t>Provincia</t>
  </si>
  <si>
    <t>ALAVA</t>
  </si>
  <si>
    <t>ALBACETE</t>
  </si>
  <si>
    <t>ALMERIA</t>
  </si>
  <si>
    <t>ASTURIAS</t>
  </si>
  <si>
    <t>ALGECIRAS</t>
  </si>
  <si>
    <t>VEJER DE LA FRONTERA</t>
  </si>
  <si>
    <t>SAN ROQUE</t>
  </si>
  <si>
    <t>CANTABRIA</t>
  </si>
  <si>
    <t>SOLARES</t>
  </si>
  <si>
    <t>MURIEDAS</t>
  </si>
  <si>
    <t>ANERO</t>
  </si>
  <si>
    <t>BENICARLO</t>
  </si>
  <si>
    <t>BURRIANA</t>
  </si>
  <si>
    <t>HUELVA</t>
  </si>
  <si>
    <t>LA RIOJA</t>
  </si>
  <si>
    <t>LEON</t>
  </si>
  <si>
    <t>TARRAGONA</t>
  </si>
  <si>
    <t>ALTAFULLA</t>
  </si>
  <si>
    <t>ARONA</t>
  </si>
  <si>
    <t>GÜIMAR</t>
  </si>
  <si>
    <t>LOS REALEJOS</t>
  </si>
  <si>
    <t>SANTIAGO DEL TEIDE</t>
  </si>
  <si>
    <t>EL SAUZAL</t>
  </si>
  <si>
    <t>LA OROTAVA</t>
  </si>
  <si>
    <t>GRANADILLA DE ABONA</t>
  </si>
  <si>
    <t>ICOD DE LOS VINOS</t>
  </si>
  <si>
    <t>SANTA CRUZ DE TENERIFE</t>
  </si>
  <si>
    <t>SANTA CRUZ DE LA PALMA</t>
  </si>
  <si>
    <t>TERUEL</t>
  </si>
  <si>
    <t>CEDRILLAS</t>
  </si>
  <si>
    <t>TOLEDO</t>
  </si>
  <si>
    <t>LA ALMUNIA DE DOÑA GODINA</t>
  </si>
  <si>
    <t>Confirmar</t>
  </si>
  <si>
    <t>Cta. de Mayor</t>
  </si>
  <si>
    <t>Precio</t>
  </si>
  <si>
    <t>Sociedad</t>
  </si>
  <si>
    <t>ID de producto/ ID del contrato</t>
  </si>
  <si>
    <t>Nota:</t>
  </si>
  <si>
    <t>Código</t>
  </si>
  <si>
    <t>Servicio</t>
  </si>
  <si>
    <t>Importe</t>
  </si>
  <si>
    <t>CONCESION</t>
  </si>
  <si>
    <t>NOMBRE</t>
  </si>
  <si>
    <t>DIRECCION</t>
  </si>
  <si>
    <t>PROVINCIA</t>
  </si>
  <si>
    <t>GRANADA</t>
  </si>
  <si>
    <t>PARALELO</t>
  </si>
  <si>
    <t>BARCELONA</t>
  </si>
  <si>
    <t>PACIFICO</t>
  </si>
  <si>
    <t>MADRID</t>
  </si>
  <si>
    <t>CLOT</t>
  </si>
  <si>
    <t>MATARO</t>
  </si>
  <si>
    <t>SAN RAFAEL</t>
  </si>
  <si>
    <t>LUCENA</t>
  </si>
  <si>
    <t>CORDOBA</t>
  </si>
  <si>
    <t>OCAÑA</t>
  </si>
  <si>
    <t>ARANJUEZ</t>
  </si>
  <si>
    <t>LEMA</t>
  </si>
  <si>
    <t>ARROYO DE LA MIEL</t>
  </si>
  <si>
    <t>SEMINARIO</t>
  </si>
  <si>
    <t>AVDA. BAJA NAVARRA, S/N</t>
  </si>
  <si>
    <t>PAMPLONA</t>
  </si>
  <si>
    <t>NAVARRA</t>
  </si>
  <si>
    <t>TORREJON EL RUBIO</t>
  </si>
  <si>
    <t>CACERES</t>
  </si>
  <si>
    <t>BILBAO</t>
  </si>
  <si>
    <t>VIZCAYA</t>
  </si>
  <si>
    <t>JUAN DE GARAY</t>
  </si>
  <si>
    <t>SAN JUAN</t>
  </si>
  <si>
    <t>PLAZA DE SAN JUAN, 1</t>
  </si>
  <si>
    <t>GETAFE</t>
  </si>
  <si>
    <t>MALGRAT MONTAÑA</t>
  </si>
  <si>
    <t>MALGRAT DE MAR</t>
  </si>
  <si>
    <t>ALICANTE</t>
  </si>
  <si>
    <t>CAMPO SAGRADO</t>
  </si>
  <si>
    <t>MARQUES DE CAMPO SAGRADO, 30</t>
  </si>
  <si>
    <t>IRASO</t>
  </si>
  <si>
    <t>ZARAGOZA</t>
  </si>
  <si>
    <t>TORREDEMBARRA</t>
  </si>
  <si>
    <t>LAS BODEGAS</t>
  </si>
  <si>
    <t>CHICLANA DE LA FRONTERA</t>
  </si>
  <si>
    <t>CADIZ</t>
  </si>
  <si>
    <t>SAN PEDRO DE ALCANTARA</t>
  </si>
  <si>
    <t>MALAGA</t>
  </si>
  <si>
    <t>LA FLORIDA</t>
  </si>
  <si>
    <t>EMBAJADORES</t>
  </si>
  <si>
    <t>PUENTE SEGOVIA</t>
  </si>
  <si>
    <t>PINILLA</t>
  </si>
  <si>
    <t>ZAMORA</t>
  </si>
  <si>
    <t>ASA MARBELLA</t>
  </si>
  <si>
    <t>MARBELLA</t>
  </si>
  <si>
    <t>ONDA 1</t>
  </si>
  <si>
    <t>ONDA</t>
  </si>
  <si>
    <t>SAN CAMILO</t>
  </si>
  <si>
    <t>NAVARRETE</t>
  </si>
  <si>
    <t>REMEY</t>
  </si>
  <si>
    <t>BOLIVIA ESQ. COLOMBIA, S/N</t>
  </si>
  <si>
    <t>SAN FERNANDO</t>
  </si>
  <si>
    <t>PUENTE ARCE</t>
  </si>
  <si>
    <t>SAN JOSE</t>
  </si>
  <si>
    <t>BALEARES</t>
  </si>
  <si>
    <t>PASARON</t>
  </si>
  <si>
    <t>VILLARREAL I</t>
  </si>
  <si>
    <t>VILLARREAL DE LOS INFANTES</t>
  </si>
  <si>
    <t>DISCO</t>
  </si>
  <si>
    <t>SAN MARINO</t>
  </si>
  <si>
    <t>CASTRO DEL RIO</t>
  </si>
  <si>
    <t>TIERCAS I</t>
  </si>
  <si>
    <t>ALQUERIAS DEL NIÑO PERDIDO</t>
  </si>
  <si>
    <t>GEVORA</t>
  </si>
  <si>
    <t>BADAJOZ</t>
  </si>
  <si>
    <t>ERRASTI SUR</t>
  </si>
  <si>
    <t>MERIDA</t>
  </si>
  <si>
    <t>LA PISTA</t>
  </si>
  <si>
    <t>SEGOVIA</t>
  </si>
  <si>
    <t>VILLAMANRIQUE</t>
  </si>
  <si>
    <t>VILLAMANRIQUE DE LA CONDESA</t>
  </si>
  <si>
    <t>SEVILLA</t>
  </si>
  <si>
    <t>VILLADIEGO</t>
  </si>
  <si>
    <t>BURGOS</t>
  </si>
  <si>
    <t>ASA ESTEPONA</t>
  </si>
  <si>
    <t>ESTEPONA</t>
  </si>
  <si>
    <t>SAGUNTO</t>
  </si>
  <si>
    <t>VALENCIA</t>
  </si>
  <si>
    <t>LOS CABALLOS</t>
  </si>
  <si>
    <t>FERNAN NUÑEZ</t>
  </si>
  <si>
    <t>LLIÇA D'AMUNT</t>
  </si>
  <si>
    <t>TARAZONA</t>
  </si>
  <si>
    <t>SAN ANTONIO ABAD</t>
  </si>
  <si>
    <t>LOESSA I</t>
  </si>
  <si>
    <t>PILAR DE LA HORADADA</t>
  </si>
  <si>
    <t>MONTELAREINA</t>
  </si>
  <si>
    <t>LA MATA</t>
  </si>
  <si>
    <t>TORREVIEJA</t>
  </si>
  <si>
    <t>CERDANYOLA</t>
  </si>
  <si>
    <t>CANGAS DE MORRAZO</t>
  </si>
  <si>
    <t>PONTEVEDRA</t>
  </si>
  <si>
    <t>LA PLAYA</t>
  </si>
  <si>
    <t>FORTUNA</t>
  </si>
  <si>
    <t>MURCIA</t>
  </si>
  <si>
    <t>LAS PEDROÑERAS</t>
  </si>
  <si>
    <t>CUENCA</t>
  </si>
  <si>
    <t>AVILA</t>
  </si>
  <si>
    <t>LA CISTERNIGA</t>
  </si>
  <si>
    <t>VALLADOLID</t>
  </si>
  <si>
    <t>VILLAGARCIA DE AROSA</t>
  </si>
  <si>
    <t>MALGRAT II</t>
  </si>
  <si>
    <t>DOLORES I</t>
  </si>
  <si>
    <t>DOLORES</t>
  </si>
  <si>
    <t>EMILIO</t>
  </si>
  <si>
    <t>UTRERA</t>
  </si>
  <si>
    <t>CANYELLES</t>
  </si>
  <si>
    <t>QUINTANA</t>
  </si>
  <si>
    <t>LOS BELONES</t>
  </si>
  <si>
    <t>DOS HERMANAS I</t>
  </si>
  <si>
    <t>DOS HERMANAS</t>
  </si>
  <si>
    <t>VALDEMORO</t>
  </si>
  <si>
    <t>ALBERITE</t>
  </si>
  <si>
    <t>ALBERITE DE SAN JUAN</t>
  </si>
  <si>
    <t>ALGIMA I</t>
  </si>
  <si>
    <t>CANALS</t>
  </si>
  <si>
    <t>CASTELLDEFELS II</t>
  </si>
  <si>
    <t>CASTELLDEFELS</t>
  </si>
  <si>
    <t>PONT MAJOR</t>
  </si>
  <si>
    <t>CORNELLA</t>
  </si>
  <si>
    <t>SUANCES</t>
  </si>
  <si>
    <t>LANZ</t>
  </si>
  <si>
    <t>PALMA DE MALLORCA</t>
  </si>
  <si>
    <t>BERRIZ II</t>
  </si>
  <si>
    <t>BERRIZ</t>
  </si>
  <si>
    <t>HUESCA II</t>
  </si>
  <si>
    <t>CUARTE</t>
  </si>
  <si>
    <t>HUESCA</t>
  </si>
  <si>
    <t>MERCAZARAGOZA</t>
  </si>
  <si>
    <t>EL HIDALGO</t>
  </si>
  <si>
    <t>VALDEPEÑAS</t>
  </si>
  <si>
    <t>CIUDAD REAL</t>
  </si>
  <si>
    <t>SANTA EULALIA</t>
  </si>
  <si>
    <t>SAX</t>
  </si>
  <si>
    <t>ARIZA I</t>
  </si>
  <si>
    <t>ARIZA</t>
  </si>
  <si>
    <t>NOU PRAT</t>
  </si>
  <si>
    <t>GASOLFRAVIL</t>
  </si>
  <si>
    <t>MIRAFLOR</t>
  </si>
  <si>
    <t>ALMANSA</t>
  </si>
  <si>
    <t>MONTIGALA</t>
  </si>
  <si>
    <t>BADALONA</t>
  </si>
  <si>
    <t>SAN ISIDRO</t>
  </si>
  <si>
    <t>VELEZ-MALAGA</t>
  </si>
  <si>
    <t>MAS XIRGU</t>
  </si>
  <si>
    <t>ALCALDE CABALLERO</t>
  </si>
  <si>
    <t>PASEO ECHEGARAY</t>
  </si>
  <si>
    <t>MARIA ZAMBRANO</t>
  </si>
  <si>
    <t>POLIGONO MALPICA</t>
  </si>
  <si>
    <t>JARAIZ</t>
  </si>
  <si>
    <t>JARAIZ DE LA VERA</t>
  </si>
  <si>
    <t>MERCAGRANADA</t>
  </si>
  <si>
    <t>CAN FATJO</t>
  </si>
  <si>
    <t>VISTANIEVE</t>
  </si>
  <si>
    <t>SANTA OLALLA</t>
  </si>
  <si>
    <t>ALFA MURCIA</t>
  </si>
  <si>
    <t>AMPOSTA</t>
  </si>
  <si>
    <t>SAN GINES</t>
  </si>
  <si>
    <t>ESTACIONES SALMANTINAS</t>
  </si>
  <si>
    <t>SALAMANCA</t>
  </si>
  <si>
    <t>ALMANJAYAR</t>
  </si>
  <si>
    <t>PUNTA DEL SEBO</t>
  </si>
  <si>
    <t>EL SALER</t>
  </si>
  <si>
    <t>BALLABONA</t>
  </si>
  <si>
    <t>HUERCAL OVERA</t>
  </si>
  <si>
    <t>ONDA 2</t>
  </si>
  <si>
    <t>LA PAUSA</t>
  </si>
  <si>
    <t>MADRIGALEJO DEL MONTE</t>
  </si>
  <si>
    <t>ROBLEDO</t>
  </si>
  <si>
    <t>ROBLEDO DE CHAVELA</t>
  </si>
  <si>
    <t>CABALLO BLANCO</t>
  </si>
  <si>
    <t>SORIA</t>
  </si>
  <si>
    <t>LAS CANTERAS</t>
  </si>
  <si>
    <t>JAEN</t>
  </si>
  <si>
    <t>MAFA</t>
  </si>
  <si>
    <t>SABADELL</t>
  </si>
  <si>
    <t>BAYYANA</t>
  </si>
  <si>
    <t>FRAVIFE</t>
  </si>
  <si>
    <t>PARAHIS</t>
  </si>
  <si>
    <t>VILLAJOYOSA</t>
  </si>
  <si>
    <t>MERCABILBAO</t>
  </si>
  <si>
    <t>BASAURI</t>
  </si>
  <si>
    <t>GORRITI</t>
  </si>
  <si>
    <t>BUNYOLA I</t>
  </si>
  <si>
    <t>LA CARTUJA</t>
  </si>
  <si>
    <t>ROMPEOLAS</t>
  </si>
  <si>
    <t>PETRA</t>
  </si>
  <si>
    <t>SANSE</t>
  </si>
  <si>
    <t>SAN SEBASTIAN DE LOS REYES</t>
  </si>
  <si>
    <t>SUBMARINO PERAL</t>
  </si>
  <si>
    <t>CARTAGENA</t>
  </si>
  <si>
    <t>OLOT</t>
  </si>
  <si>
    <t>BALCON DE JUCAR</t>
  </si>
  <si>
    <t>ALBERIQUE</t>
  </si>
  <si>
    <t>PUNT DEL MONTSENY</t>
  </si>
  <si>
    <t>BUNYOLA II</t>
  </si>
  <si>
    <t>PINEDA</t>
  </si>
  <si>
    <t>VILANOVA-4</t>
  </si>
  <si>
    <t>CAMPO DE LAS NACIONES</t>
  </si>
  <si>
    <t>GURB</t>
  </si>
  <si>
    <t>AMURRIO</t>
  </si>
  <si>
    <t>LEZAMA</t>
  </si>
  <si>
    <t>UTEBO</t>
  </si>
  <si>
    <t>LA MUELA</t>
  </si>
  <si>
    <t>VIRGEN DEL CARMEN</t>
  </si>
  <si>
    <t>PALENCIA</t>
  </si>
  <si>
    <t>TRUJILLO</t>
  </si>
  <si>
    <t>CRUZ BLANCA</t>
  </si>
  <si>
    <t>SIETE IGLESIAS</t>
  </si>
  <si>
    <t>SIETE IGLESIAS DE TRABANCOS</t>
  </si>
  <si>
    <t>VILLANUEVA DEL PARDILLO</t>
  </si>
  <si>
    <t>PUERTA DE ASTORGA</t>
  </si>
  <si>
    <t>ASTORGA</t>
  </si>
  <si>
    <t>SAN MANUEL</t>
  </si>
  <si>
    <t>PELIGROS</t>
  </si>
  <si>
    <t>PALLEJA I</t>
  </si>
  <si>
    <t>PALLEJA</t>
  </si>
  <si>
    <t>PUNTA CANDOR</t>
  </si>
  <si>
    <t>AVDA. PUNTA DEL CANDOR, S/N</t>
  </si>
  <si>
    <t>ROTA</t>
  </si>
  <si>
    <t>VIRGEN DE LA AURORA</t>
  </si>
  <si>
    <t>MONTILLA</t>
  </si>
  <si>
    <t>LOPE DE VEGA</t>
  </si>
  <si>
    <t>SALVADOR MAELLA</t>
  </si>
  <si>
    <t>PERALES DE TAJUÑA</t>
  </si>
  <si>
    <t>MIRAFLORES</t>
  </si>
  <si>
    <t>MIRAFLORES DE LA SIERRA</t>
  </si>
  <si>
    <t>VILA-SANA</t>
  </si>
  <si>
    <t>PUNTA UMBRIA</t>
  </si>
  <si>
    <t>EL MIMBRERO</t>
  </si>
  <si>
    <t>LA ALBUERA</t>
  </si>
  <si>
    <t>SAHAGUN DE CAMPOS</t>
  </si>
  <si>
    <t>PUERTO LUMBRERAS</t>
  </si>
  <si>
    <t>PUERTO MANZANAL I</t>
  </si>
  <si>
    <t>VILLAGATON</t>
  </si>
  <si>
    <t>PUERTO MANZANAL II</t>
  </si>
  <si>
    <t>TRIGUEROS</t>
  </si>
  <si>
    <t>PARETS</t>
  </si>
  <si>
    <t>CASABERMEJA</t>
  </si>
  <si>
    <t>NUEVA MORALEJA</t>
  </si>
  <si>
    <t>ALCOBENDAS</t>
  </si>
  <si>
    <t>TORREMOLINOS</t>
  </si>
  <si>
    <t>AVDA. MANUEL FRAGA IRIBARNE, 10</t>
  </si>
  <si>
    <t>FRAVILCAS</t>
  </si>
  <si>
    <t>CASTELLON DE LA PLANA</t>
  </si>
  <si>
    <t>CASTILLEJO DE INIESTA</t>
  </si>
  <si>
    <t>SESEÑA I</t>
  </si>
  <si>
    <t>SESEÑA</t>
  </si>
  <si>
    <t>SESEÑA II</t>
  </si>
  <si>
    <t>PAU VALLECAS</t>
  </si>
  <si>
    <t>SOSES</t>
  </si>
  <si>
    <t>O CORGO I</t>
  </si>
  <si>
    <t>LUGO</t>
  </si>
  <si>
    <t>O CORGO II</t>
  </si>
  <si>
    <t>ALSASUA</t>
  </si>
  <si>
    <t>NILO</t>
  </si>
  <si>
    <t>ALCALA DE HENARES</t>
  </si>
  <si>
    <t>GUADARRAMA</t>
  </si>
  <si>
    <t>EL MARQUES</t>
  </si>
  <si>
    <t>AGUADULCE</t>
  </si>
  <si>
    <t>LA BARCALA</t>
  </si>
  <si>
    <t>CAMBRE</t>
  </si>
  <si>
    <t>LA CORUÑA</t>
  </si>
  <si>
    <t>ARGANDA</t>
  </si>
  <si>
    <t>ARGANDA DEL REY</t>
  </si>
  <si>
    <t>MANILVA I</t>
  </si>
  <si>
    <t>MANILVA</t>
  </si>
  <si>
    <t>MANILVA II</t>
  </si>
  <si>
    <t>SANTURTZI</t>
  </si>
  <si>
    <t>SANTURCE</t>
  </si>
  <si>
    <t>ELCHE</t>
  </si>
  <si>
    <t>CANCARIX II</t>
  </si>
  <si>
    <t>CANCARIX</t>
  </si>
  <si>
    <t>TORRALBA II</t>
  </si>
  <si>
    <t>TORRALBA DE CALATRAVA</t>
  </si>
  <si>
    <t>DIPUTACION</t>
  </si>
  <si>
    <t>PALLEJA II</t>
  </si>
  <si>
    <t>YUCATAN</t>
  </si>
  <si>
    <t>CORRAL DE ALMAGUER I</t>
  </si>
  <si>
    <t>CORRAL DE ALMAGUER</t>
  </si>
  <si>
    <t>CORRAL DE ALMAGUER II</t>
  </si>
  <si>
    <t>SANTA MARIA DE LOS LLANOS I</t>
  </si>
  <si>
    <t>SANTA MARIA DE LOS LLANOS</t>
  </si>
  <si>
    <t>SANTA MARIA DE LOS LLANOS II</t>
  </si>
  <si>
    <t>EL PROVENCIO I</t>
  </si>
  <si>
    <t>EL PROVENCIO</t>
  </si>
  <si>
    <t>EL PROVENCIO II</t>
  </si>
  <si>
    <t>SAN CLEMENTE I</t>
  </si>
  <si>
    <t>SAN CLEMENTE</t>
  </si>
  <si>
    <t>SAN CLEMENTE II</t>
  </si>
  <si>
    <t>CALZADILLA DE LOS BARROS</t>
  </si>
  <si>
    <t>EL BERCIAL</t>
  </si>
  <si>
    <t>PEGUERA</t>
  </si>
  <si>
    <t>RONDA DE PEGUERA, S/N</t>
  </si>
  <si>
    <t>CALVIA</t>
  </si>
  <si>
    <t>ALCORCON</t>
  </si>
  <si>
    <t>LAGUNA-LEGANES, 2 - P.I. URTINSA</t>
  </si>
  <si>
    <t>ANDOAIN</t>
  </si>
  <si>
    <t>GUIPUZCOA</t>
  </si>
  <si>
    <t>TRINITARIOS</t>
  </si>
  <si>
    <t>PUERTO BAHIA DE ALGECIRAS</t>
  </si>
  <si>
    <t>AVDA. GAITAN AYALA, S/N (ISLA VERDE) ZONA 69-DENTRO DE ZONA PORTUARIA</t>
  </si>
  <si>
    <t>LA ARDILA</t>
  </si>
  <si>
    <t>ANDUJAR II</t>
  </si>
  <si>
    <t>ANDUJAR</t>
  </si>
  <si>
    <t>PORTUGALETE</t>
  </si>
  <si>
    <t>RAMON Y CAJAL, S/N</t>
  </si>
  <si>
    <t>TORREFORTA</t>
  </si>
  <si>
    <t>EL CASETON</t>
  </si>
  <si>
    <t>ESUCARTO</t>
  </si>
  <si>
    <t>TORREJON DE ARDOZ</t>
  </si>
  <si>
    <t>SAN PEDRO DE NOS</t>
  </si>
  <si>
    <t>OLEIROS</t>
  </si>
  <si>
    <t>GANOSA</t>
  </si>
  <si>
    <t>ALCONERA</t>
  </si>
  <si>
    <t>MARTORELL</t>
  </si>
  <si>
    <t>BALAFIA</t>
  </si>
  <si>
    <t>ADANERO I</t>
  </si>
  <si>
    <t>ADANERO</t>
  </si>
  <si>
    <t>SAN CRISTOBAL</t>
  </si>
  <si>
    <t>OVIEDO</t>
  </si>
  <si>
    <t>GUADACORTE I</t>
  </si>
  <si>
    <t>LOS BARRIOS</t>
  </si>
  <si>
    <t>ELORRIO</t>
  </si>
  <si>
    <t>SERVICIO NORTE</t>
  </si>
  <si>
    <t>RONDA</t>
  </si>
  <si>
    <t>CAMPOLLANO II</t>
  </si>
  <si>
    <t>AIDATER I</t>
  </si>
  <si>
    <t>MOSTOLES</t>
  </si>
  <si>
    <t>LA CAÑADA</t>
  </si>
  <si>
    <t>BENAVENTE</t>
  </si>
  <si>
    <t>VILLADECANES</t>
  </si>
  <si>
    <t>NAVACERRADA II</t>
  </si>
  <si>
    <t>NAVACERRADA</t>
  </si>
  <si>
    <t>OTERO</t>
  </si>
  <si>
    <t>CRAYWINKEL</t>
  </si>
  <si>
    <t>MORALEJA</t>
  </si>
  <si>
    <t>FUENCARRAL</t>
  </si>
  <si>
    <t>LA SENYERA I</t>
  </si>
  <si>
    <t>RIHEMA</t>
  </si>
  <si>
    <t>MONASTERIO DE RODILLA</t>
  </si>
  <si>
    <t>LA RODA</t>
  </si>
  <si>
    <t>TORREHIERRO I</t>
  </si>
  <si>
    <t>TALAVERA DE LA REINA</t>
  </si>
  <si>
    <t>CEHEGIN</t>
  </si>
  <si>
    <t>CINTRUENIGO</t>
  </si>
  <si>
    <t>FUENTES DE OÑORO</t>
  </si>
  <si>
    <t>COLON</t>
  </si>
  <si>
    <t>SANTA COLOMA</t>
  </si>
  <si>
    <t>SANTA COLOMA DE GRAMANET</t>
  </si>
  <si>
    <t>RUTAZAR</t>
  </si>
  <si>
    <t>LAS TORRES</t>
  </si>
  <si>
    <t>EL CASTILLO</t>
  </si>
  <si>
    <t>VILLARROBLEDO</t>
  </si>
  <si>
    <t>LA PINADA</t>
  </si>
  <si>
    <t>VILLARROBLEDO II</t>
  </si>
  <si>
    <t>COSTA BLANCA</t>
  </si>
  <si>
    <t>CARTAYA</t>
  </si>
  <si>
    <t>LASARTE</t>
  </si>
  <si>
    <t>DILUEX</t>
  </si>
  <si>
    <t>EL PILAR</t>
  </si>
  <si>
    <t>SU EMINENCIA</t>
  </si>
  <si>
    <t>PUENTE LA REINA</t>
  </si>
  <si>
    <t>CUATRO CAMINOS</t>
  </si>
  <si>
    <t>VILLAFRANCA DE LOS BARROS</t>
  </si>
  <si>
    <t>VIC-2</t>
  </si>
  <si>
    <t>VIC</t>
  </si>
  <si>
    <t>CAÑERO</t>
  </si>
  <si>
    <t>BUENAVISTA</t>
  </si>
  <si>
    <t>PATERNA</t>
  </si>
  <si>
    <t>PRIEGO I</t>
  </si>
  <si>
    <t>PRIEGO DE CORDOBA</t>
  </si>
  <si>
    <t>SES SALINES</t>
  </si>
  <si>
    <t>FRANCESC DE BORJA Y MOLL, 63</t>
  </si>
  <si>
    <t>EL GUIRNEY II</t>
  </si>
  <si>
    <t>PETREL</t>
  </si>
  <si>
    <t>LA SENYERA II</t>
  </si>
  <si>
    <t>LOS CLAVELES II</t>
  </si>
  <si>
    <t>CAMPOLLANO I</t>
  </si>
  <si>
    <t>HUESCA I</t>
  </si>
  <si>
    <t>ADANERO II</t>
  </si>
  <si>
    <t>PRIEGO II</t>
  </si>
  <si>
    <t>NAVACERRADA I</t>
  </si>
  <si>
    <t>LOS ANGELES II</t>
  </si>
  <si>
    <t>TIERCAS II</t>
  </si>
  <si>
    <t>DOS HERMANAS II</t>
  </si>
  <si>
    <t>MALGRAT MAR</t>
  </si>
  <si>
    <t>GUADACORTE II</t>
  </si>
  <si>
    <t>AIDATER II</t>
  </si>
  <si>
    <t>ANTONIO MACHADO</t>
  </si>
  <si>
    <t>OFELIA NIETO</t>
  </si>
  <si>
    <t>OJOS DE GARZA</t>
  </si>
  <si>
    <t>TELDE</t>
  </si>
  <si>
    <t>LAS PALMAS</t>
  </si>
  <si>
    <t>JUAN GRANDE</t>
  </si>
  <si>
    <t>LAS PALMAS DE GRAN CANARIA</t>
  </si>
  <si>
    <t>AUTOPISTA SUR</t>
  </si>
  <si>
    <t>AEROPUERTO GANDO - AIRE</t>
  </si>
  <si>
    <t>AEROPUERTO GANDO - TIERRA</t>
  </si>
  <si>
    <t>FASNIA</t>
  </si>
  <si>
    <t>LAS CHAFIRAS</t>
  </si>
  <si>
    <t>SAN MIGUEL DE ABONA</t>
  </si>
  <si>
    <t>LAS RAMBLAS</t>
  </si>
  <si>
    <t>AEROPUERTO LANZAROTE LADO TIERRA</t>
  </si>
  <si>
    <t>TACO</t>
  </si>
  <si>
    <t>AEROPUERTO FUERTEVENTURA</t>
  </si>
  <si>
    <t>CTRA. DEL AEUROPUERTO, S/N</t>
  </si>
  <si>
    <t>PUERTO DEL ROSARIO</t>
  </si>
  <si>
    <t>VARADERO</t>
  </si>
  <si>
    <t>GUIA DE ISORA</t>
  </si>
  <si>
    <t>EL ANGULO</t>
  </si>
  <si>
    <t>CEUTA</t>
  </si>
  <si>
    <t>POSTE BRENES</t>
  </si>
  <si>
    <t>BRENES</t>
  </si>
  <si>
    <t>AYAMONTE</t>
  </si>
  <si>
    <t>MUELLE PORTUGAL, S/N</t>
  </si>
  <si>
    <t>PEDRO MUÑOZ</t>
  </si>
  <si>
    <t>TORRES MARQUEZ</t>
  </si>
  <si>
    <t>TOMELLOSO</t>
  </si>
  <si>
    <t>GLORIETA DEL CID, S/N</t>
  </si>
  <si>
    <t>ALCONCHEL</t>
  </si>
  <si>
    <t>EL ARAHAL</t>
  </si>
  <si>
    <t>SANLUCAR LA MAYOR</t>
  </si>
  <si>
    <t>MORON DE LA FRONTERA</t>
  </si>
  <si>
    <t>PILAS</t>
  </si>
  <si>
    <t>MEDINA SIDONIA</t>
  </si>
  <si>
    <t>MANCHA REAL</t>
  </si>
  <si>
    <t>PARQUE MUNICIPAL, S/N</t>
  </si>
  <si>
    <t>ORCERA</t>
  </si>
  <si>
    <t>ALFEREZ</t>
  </si>
  <si>
    <t>ALFEREZ PROVISIONAL, S/N</t>
  </si>
  <si>
    <t>VENTAS</t>
  </si>
  <si>
    <t>ALCALA, 284</t>
  </si>
  <si>
    <t>GETAFE I</t>
  </si>
  <si>
    <t>SAN FRANCISCO</t>
  </si>
  <si>
    <t>PLAZA SAN FRANCISCO, S/N</t>
  </si>
  <si>
    <t>LEGAZPIA</t>
  </si>
  <si>
    <t>BIKUÑA, S/N</t>
  </si>
  <si>
    <t>ZUMAIA</t>
  </si>
  <si>
    <t>ZUMAYA</t>
  </si>
  <si>
    <t>HERRERA DEL DUQUE</t>
  </si>
  <si>
    <t>AVDA. DE LA PALMERA, 22</t>
  </si>
  <si>
    <t>BARCARROTA</t>
  </si>
  <si>
    <t>AVDA. EXTREMADURA</t>
  </si>
  <si>
    <t>AVDA. EXTREMADURA, 15</t>
  </si>
  <si>
    <t>CAMI DE MAR</t>
  </si>
  <si>
    <t>CALAFELL</t>
  </si>
  <si>
    <t>ROSA MAR</t>
  </si>
  <si>
    <t>SAN BARTOLOME</t>
  </si>
  <si>
    <t>NEGURI</t>
  </si>
  <si>
    <t>CABRA</t>
  </si>
  <si>
    <t>PLAZA DIPUTACION, S/N</t>
  </si>
  <si>
    <t>PUENTE DEL ARENAL</t>
  </si>
  <si>
    <t>AVDA. CAMPO DE LA VERDAD, S/N - PLAZA SANTA TERESA</t>
  </si>
  <si>
    <t>CARLOS III</t>
  </si>
  <si>
    <t>ESPEJO</t>
  </si>
  <si>
    <t>LOS ALFARES</t>
  </si>
  <si>
    <t>LA RAMBLA</t>
  </si>
  <si>
    <t>PUENTE GENIL</t>
  </si>
  <si>
    <t>CUESTA DEL MOLINO, S/N</t>
  </si>
  <si>
    <t>SANTA MARIA</t>
  </si>
  <si>
    <t>PLAZA HOSTALS, 4</t>
  </si>
  <si>
    <t>SANTA MARIA DEL CAMI</t>
  </si>
  <si>
    <t>SOTILLO</t>
  </si>
  <si>
    <t>SOTILLO DE LA ADRADA</t>
  </si>
  <si>
    <t>CAVANILLES, 58</t>
  </si>
  <si>
    <t>SANTA BARBARA</t>
  </si>
  <si>
    <t>SANTA GENOVEVA</t>
  </si>
  <si>
    <t>GRAZALEMA</t>
  </si>
  <si>
    <t>VALLE DE HECHO</t>
  </si>
  <si>
    <t>FUENTECILLAS</t>
  </si>
  <si>
    <t>LA RINCONADA</t>
  </si>
  <si>
    <t>SAN JUAN DEL PUERTO I</t>
  </si>
  <si>
    <t>SAN JUAN DEL PUERTO</t>
  </si>
  <si>
    <t>SALVATIERRA</t>
  </si>
  <si>
    <t>HORCA, 16</t>
  </si>
  <si>
    <t>SALVATIERRA DE MIÑO</t>
  </si>
  <si>
    <t>PASEO ALCOBENDAS, 10</t>
  </si>
  <si>
    <t>CARBAJALES DE ALBA</t>
  </si>
  <si>
    <t>PASEO DEL MAR CASPIO, S/N</t>
  </si>
  <si>
    <t>JARRATE</t>
  </si>
  <si>
    <t>MURGUIA</t>
  </si>
  <si>
    <t>TORREMIRON</t>
  </si>
  <si>
    <t>ORIHUELA</t>
  </si>
  <si>
    <t>LOS GURULLOS</t>
  </si>
  <si>
    <t>MOJACAR</t>
  </si>
  <si>
    <t>FERMOSELLE</t>
  </si>
  <si>
    <t>CEDILLO DEL CONDADO</t>
  </si>
  <si>
    <t>CARMONA</t>
  </si>
  <si>
    <t>VILAVERD</t>
  </si>
  <si>
    <t>JORNET LLOBREGAT</t>
  </si>
  <si>
    <t>VERGES</t>
  </si>
  <si>
    <t>CAMPREDO-EBRE</t>
  </si>
  <si>
    <t>TORTOSA</t>
  </si>
  <si>
    <t>PUEBLONUEVO DEL GUADIANA</t>
  </si>
  <si>
    <t>URITIASOLO</t>
  </si>
  <si>
    <t>VITORIA</t>
  </si>
  <si>
    <t>VIRGEN DE VALDEFUENTES</t>
  </si>
  <si>
    <t>MONTEHERMOSO</t>
  </si>
  <si>
    <t>L'ALDEA</t>
  </si>
  <si>
    <t>KADE-4</t>
  </si>
  <si>
    <t>ROQUETAS DE MAR</t>
  </si>
  <si>
    <t>PALOS DE LA FRONTERA</t>
  </si>
  <si>
    <t>SAN PEDRO DEL PINATAR</t>
  </si>
  <si>
    <t>EL HIGUERON</t>
  </si>
  <si>
    <t>LA LINEA DE LA CONCEPCION</t>
  </si>
  <si>
    <t>CORELLA</t>
  </si>
  <si>
    <t>EL CAMPOFRIO</t>
  </si>
  <si>
    <t>CELLA</t>
  </si>
  <si>
    <t>VIRGEN DE CONSOLACION</t>
  </si>
  <si>
    <t>ALCALA DE GUADAIRA</t>
  </si>
  <si>
    <t>ACEQUES</t>
  </si>
  <si>
    <t>CASTRILLO DE LA VEGA</t>
  </si>
  <si>
    <t>TUEJAR</t>
  </si>
  <si>
    <t>GUITIRIZ</t>
  </si>
  <si>
    <t>DARRO</t>
  </si>
  <si>
    <t>LA SALOBREJA</t>
  </si>
  <si>
    <t>EL CRISTO DE LA MISERICORDIA</t>
  </si>
  <si>
    <t>MIGUELTURRA</t>
  </si>
  <si>
    <t>LLOSETA</t>
  </si>
  <si>
    <t>STORE-2</t>
  </si>
  <si>
    <t>VIRGEN DEL ROSARIO</t>
  </si>
  <si>
    <t>PARADAS</t>
  </si>
  <si>
    <t>ALMUNIA</t>
  </si>
  <si>
    <t>MEMBRILLA</t>
  </si>
  <si>
    <t>PORTMANY</t>
  </si>
  <si>
    <t>ZAS</t>
  </si>
  <si>
    <t>RALBER</t>
  </si>
  <si>
    <t>ORGAZ</t>
  </si>
  <si>
    <t>ALPICAT</t>
  </si>
  <si>
    <t>LA CURISCADA</t>
  </si>
  <si>
    <t>TINEO</t>
  </si>
  <si>
    <t>EL EJIDO</t>
  </si>
  <si>
    <t>MORALES DE TORO</t>
  </si>
  <si>
    <t>ALAYOR</t>
  </si>
  <si>
    <t>SAN PASCUAL</t>
  </si>
  <si>
    <t>CAMINO SANTA ANA PARCELA 19, POLIGONO 9</t>
  </si>
  <si>
    <t>VALLGORGUINA</t>
  </si>
  <si>
    <t>ALARO</t>
  </si>
  <si>
    <t>CAMPOS</t>
  </si>
  <si>
    <t>CAMPOS DEL PUERTO</t>
  </si>
  <si>
    <t>PINTO</t>
  </si>
  <si>
    <t>OREÑA</t>
  </si>
  <si>
    <t>NOVALES</t>
  </si>
  <si>
    <t>LA PURISIMA</t>
  </si>
  <si>
    <t>SANTA CRUZ DE MUDELA</t>
  </si>
  <si>
    <t>CALA MILLOR</t>
  </si>
  <si>
    <t>POLIGONO INDUSTRIAL1, PARCS. 197,199,200, S/N - CARRERO, S/N</t>
  </si>
  <si>
    <t>MILAGROS</t>
  </si>
  <si>
    <t>CAMINO DE LAS TORRES</t>
  </si>
  <si>
    <t>GALISTEO</t>
  </si>
  <si>
    <t>LA TORRETA</t>
  </si>
  <si>
    <t>ROMERO, 2 - AVDA. LIBERTAD, S/N</t>
  </si>
  <si>
    <t>ELDA</t>
  </si>
  <si>
    <t>PEDROSA</t>
  </si>
  <si>
    <t>BOTANICA, 74</t>
  </si>
  <si>
    <t>GREGORIO HERNANDEZ</t>
  </si>
  <si>
    <t>DOS LUISES</t>
  </si>
  <si>
    <t>LA ESTRELLA</t>
  </si>
  <si>
    <t>LLORCA</t>
  </si>
  <si>
    <t>ORENSE</t>
  </si>
  <si>
    <t>SOLANAS</t>
  </si>
  <si>
    <t>LOS PRADOS</t>
  </si>
  <si>
    <t>CADI</t>
  </si>
  <si>
    <t>GUARDIOLA DE BERGA</t>
  </si>
  <si>
    <t>BARAJAS</t>
  </si>
  <si>
    <t>CALA D'OR</t>
  </si>
  <si>
    <t>VIA RONDA</t>
  </si>
  <si>
    <t>MAHON</t>
  </si>
  <si>
    <t>DON ZOILO</t>
  </si>
  <si>
    <t>VILLABRAZARO</t>
  </si>
  <si>
    <t>SAN JULIAN</t>
  </si>
  <si>
    <t>LA RIA</t>
  </si>
  <si>
    <t>AVDA. CONDE DE GUADALHORCE, 69</t>
  </si>
  <si>
    <t>AVILES</t>
  </si>
  <si>
    <t>LLUCHMAYOR</t>
  </si>
  <si>
    <t>COSLADA-2</t>
  </si>
  <si>
    <t>RIOJA, 20, MANZANA S-9, PARCELA 9.6 (CENTRO DE TRANSPORTES DE COSLADA)</t>
  </si>
  <si>
    <t>COSLADA</t>
  </si>
  <si>
    <t>COSLADA-1</t>
  </si>
  <si>
    <t>RIOJA, 23, MANZANA S-9, PARCELA 9.1 (CENTRO DE TRANSPORTES DE COSLADA)</t>
  </si>
  <si>
    <t>LA MEZQUITA</t>
  </si>
  <si>
    <t>TUDANCA</t>
  </si>
  <si>
    <t>FUENTESPINA</t>
  </si>
  <si>
    <t>GARCIMUÑOZ-1</t>
  </si>
  <si>
    <t>CASTILLO DE GARCIMUÑOZ</t>
  </si>
  <si>
    <t>GARCIMUÑOZ-2</t>
  </si>
  <si>
    <t>SAN VALERO</t>
  </si>
  <si>
    <t>PILAR DE LA HORADADA II</t>
  </si>
  <si>
    <t>LA JARA</t>
  </si>
  <si>
    <t>CHIPIONA</t>
  </si>
  <si>
    <t>CASAR DE CACERES</t>
  </si>
  <si>
    <t>JATIVA</t>
  </si>
  <si>
    <t>COR DEL DELTA</t>
  </si>
  <si>
    <t>SAN JAIME DE ENVEIJA</t>
  </si>
  <si>
    <t>CURTIS</t>
  </si>
  <si>
    <t>TRUCK COSLADA</t>
  </si>
  <si>
    <t>AVDA. DE ITALIA, S/N - SUPERMANZANA S-7, PARCELA F, C.T.C.</t>
  </si>
  <si>
    <t>EXGA AVDA. MADRID</t>
  </si>
  <si>
    <t>AVDA. MADRID, 73</t>
  </si>
  <si>
    <t>VIGO</t>
  </si>
  <si>
    <t>CANFRANC</t>
  </si>
  <si>
    <t>CTM-MALAGA</t>
  </si>
  <si>
    <t>POLIGONO INDUSTRIAL TREVELEZ - C/OFFENBACH, S/N</t>
  </si>
  <si>
    <t>LANGREO</t>
  </si>
  <si>
    <t>XERACO-I</t>
  </si>
  <si>
    <t>XERACO-II</t>
  </si>
  <si>
    <t>ABAVIDES</t>
  </si>
  <si>
    <t>TRASMIRAS</t>
  </si>
  <si>
    <t>NOAIN</t>
  </si>
  <si>
    <t>LA ZUBIA</t>
  </si>
  <si>
    <t>LAS GALERAS</t>
  </si>
  <si>
    <t>VILABOA</t>
  </si>
  <si>
    <t>TRES CANTOS</t>
  </si>
  <si>
    <t>VIAL SALIDA AEROPUERTO, S/N</t>
  </si>
  <si>
    <t>MONTEPORREIRO</t>
  </si>
  <si>
    <t>HONRUBIA</t>
  </si>
  <si>
    <t>MIAJADAS</t>
  </si>
  <si>
    <t>PIRINEOS</t>
  </si>
  <si>
    <t>PECAFER</t>
  </si>
  <si>
    <t>FONDARELLA</t>
  </si>
  <si>
    <t>CARBALLO</t>
  </si>
  <si>
    <t>MONFORTE DE LEMOS</t>
  </si>
  <si>
    <t>REQUENA I</t>
  </si>
  <si>
    <t>REQUENA</t>
  </si>
  <si>
    <t>REQUENA II</t>
  </si>
  <si>
    <t>ALPEDRETE</t>
  </si>
  <si>
    <t>PRIMAVERA, 94</t>
  </si>
  <si>
    <t>LA ENCINA</t>
  </si>
  <si>
    <t>CAMPOAMOR II</t>
  </si>
  <si>
    <t>ORIHUELA-COSTA</t>
  </si>
  <si>
    <t>9 DE OCTUBRE</t>
  </si>
  <si>
    <t>PISTA DE SILLA</t>
  </si>
  <si>
    <t>SILLA</t>
  </si>
  <si>
    <t>VITORIA II</t>
  </si>
  <si>
    <t>DUSSELDORF, 1</t>
  </si>
  <si>
    <t>ONTENIENTE</t>
  </si>
  <si>
    <t>FORUM</t>
  </si>
  <si>
    <t>AVDA. RAMON LLULL ESQ. EDUARDO MARISTANY</t>
  </si>
  <si>
    <t>SAN ADRIAN DE BESOS</t>
  </si>
  <si>
    <t>VILLALONQUEJAR</t>
  </si>
  <si>
    <t>CONDADO DE TREVIÑO, 30 - P.I. VILLALONQUEJAR</t>
  </si>
  <si>
    <t>BULEVAR SUR</t>
  </si>
  <si>
    <t>AVDA. TRES CRUCES, 109</t>
  </si>
  <si>
    <t>AVDA. DE LA ESTACION, S/N-POLIGONO INDUSTRIAL LA LAGUNILLA</t>
  </si>
  <si>
    <t>TRIFON</t>
  </si>
  <si>
    <t>AVDA. PRINCIPES DE ASTURIAS, S/N PARCELA A, SECTOR 3</t>
  </si>
  <si>
    <t>IBIZA</t>
  </si>
  <si>
    <t>VIA MEDITERRANEO, S/N</t>
  </si>
  <si>
    <t>PRENDES</t>
  </si>
  <si>
    <t>CARREÑO</t>
  </si>
  <si>
    <t>BAILEN</t>
  </si>
  <si>
    <t>LAS PALMERAS</t>
  </si>
  <si>
    <t>GANDIA</t>
  </si>
  <si>
    <t>CAMPOL-GODELLA</t>
  </si>
  <si>
    <t>GODELLA</t>
  </si>
  <si>
    <t>CASTILLA</t>
  </si>
  <si>
    <t>AVDA. DEL CID, 5</t>
  </si>
  <si>
    <t>PEDRERO FERNANDEZ</t>
  </si>
  <si>
    <t>JUAN MANUEL CRIADO</t>
  </si>
  <si>
    <t>OLIAS DEL REY</t>
  </si>
  <si>
    <t>TAMEIGA</t>
  </si>
  <si>
    <t>HEPRASA</t>
  </si>
  <si>
    <t>ALUCHE</t>
  </si>
  <si>
    <t>GENERAL FANJUL, 2</t>
  </si>
  <si>
    <t>PARDILLA</t>
  </si>
  <si>
    <t>ARCOS DE LA FRONTERA</t>
  </si>
  <si>
    <t>COMERCIAL AVENIDA</t>
  </si>
  <si>
    <t>JEREZ DE LA FRONTERA</t>
  </si>
  <si>
    <t>NUESTRA SEÑORA DE REGLA</t>
  </si>
  <si>
    <t>LA COLILLA</t>
  </si>
  <si>
    <t>TERRIZA</t>
  </si>
  <si>
    <t>BOLLULLOS DEL CONDADO</t>
  </si>
  <si>
    <t>TABARA</t>
  </si>
  <si>
    <t>NERVA</t>
  </si>
  <si>
    <t>CAPARROSO</t>
  </si>
  <si>
    <t>MORENO MUÑOZ I</t>
  </si>
  <si>
    <t>SADA</t>
  </si>
  <si>
    <t>CASTELLBISBAL</t>
  </si>
  <si>
    <t>BON PASTOR</t>
  </si>
  <si>
    <t>CARACAS, 24</t>
  </si>
  <si>
    <t>PINOS PUENTE</t>
  </si>
  <si>
    <t>CRISTO DE LA VEGA</t>
  </si>
  <si>
    <t>SOCUELLAMOS</t>
  </si>
  <si>
    <t>EL CRUCE</t>
  </si>
  <si>
    <t>TARIFA</t>
  </si>
  <si>
    <t>GADOR</t>
  </si>
  <si>
    <t>PLAZA DEL MERCADO, S/N</t>
  </si>
  <si>
    <t>LEDESMA</t>
  </si>
  <si>
    <t>PALMA NOVA</t>
  </si>
  <si>
    <t>PALMANOVA</t>
  </si>
  <si>
    <t>MATALLANA DE TORIO</t>
  </si>
  <si>
    <t>ES TORDERA KM 684</t>
  </si>
  <si>
    <t>TORDERA</t>
  </si>
  <si>
    <t>FINCAS VIVO</t>
  </si>
  <si>
    <t>CIUDADELA</t>
  </si>
  <si>
    <t>ROSELLO</t>
  </si>
  <si>
    <t>PLAZA DE ABU UMAR, 1</t>
  </si>
  <si>
    <t>MOTRIL</t>
  </si>
  <si>
    <t>VILLAMANIN</t>
  </si>
  <si>
    <t>VEGA ALEGRE</t>
  </si>
  <si>
    <t>PONFERRADA</t>
  </si>
  <si>
    <t>CALERA Y CHOZAS</t>
  </si>
  <si>
    <t>AVINYO</t>
  </si>
  <si>
    <t>DON BENITO</t>
  </si>
  <si>
    <t>GOLOSALVO</t>
  </si>
  <si>
    <t>MARIA AUXILIADORA</t>
  </si>
  <si>
    <t>MARIA AUXILIADORA, 33</t>
  </si>
  <si>
    <t>PORTAL DE SERRABLO</t>
  </si>
  <si>
    <t>HOSTAL DE IPIES</t>
  </si>
  <si>
    <t>MURRIA HERMANOS</t>
  </si>
  <si>
    <t>ALCAÑIZ</t>
  </si>
  <si>
    <t>COMERCIAL HERPE</t>
  </si>
  <si>
    <t>LA ROCA DE LA SIERRA</t>
  </si>
  <si>
    <t>SANTA ISABEL</t>
  </si>
  <si>
    <t>AVDA. SANTA ISABEL, 1</t>
  </si>
  <si>
    <t>REUS</t>
  </si>
  <si>
    <t>NEVADA</t>
  </si>
  <si>
    <t>LA BAÑEZA</t>
  </si>
  <si>
    <t>AINSA</t>
  </si>
  <si>
    <t>AMPUDIA</t>
  </si>
  <si>
    <t>LEBRIJA</t>
  </si>
  <si>
    <t>AVDA. JOSE FERNANDEZ RUIZ, 60</t>
  </si>
  <si>
    <t>LAKUNTZA</t>
  </si>
  <si>
    <t>LACUNZA</t>
  </si>
  <si>
    <t>LOS REMEDIOS</t>
  </si>
  <si>
    <t>FREGENAL DE LA SIERRA</t>
  </si>
  <si>
    <t>CERVERA DEL LLANO</t>
  </si>
  <si>
    <t>SANTA MARTA DE LOS BARROS</t>
  </si>
  <si>
    <t>ISONA</t>
  </si>
  <si>
    <t>NUESTRA SEÑORA DE LOS BAÑOS</t>
  </si>
  <si>
    <t>FUENCALIENTE</t>
  </si>
  <si>
    <t>ALBALATE</t>
  </si>
  <si>
    <t>ALBALATE DEL ARZOBISPO</t>
  </si>
  <si>
    <t>HORNACHUELOS</t>
  </si>
  <si>
    <t>CAZALLA DE LA SIERRA</t>
  </si>
  <si>
    <t>REYES</t>
  </si>
  <si>
    <t>MOSTOLES, 1 - CTRA. VILLAVICIOSA-PINTO, PK 12.8</t>
  </si>
  <si>
    <t>FUENLABRADA</t>
  </si>
  <si>
    <t>SANTA ANA</t>
  </si>
  <si>
    <t>SANTA ANA, 83</t>
  </si>
  <si>
    <t>PALMA DEL RIO</t>
  </si>
  <si>
    <t>CUEVAS DEL BECERRO</t>
  </si>
  <si>
    <t>LA COLONIA</t>
  </si>
  <si>
    <t>ANTEQUERA</t>
  </si>
  <si>
    <t>MOMBUEY</t>
  </si>
  <si>
    <t>MAJADAHONDA</t>
  </si>
  <si>
    <t>MOTOSUR</t>
  </si>
  <si>
    <t>IDELLA</t>
  </si>
  <si>
    <t>EL CID</t>
  </si>
  <si>
    <t>CARBURANTES SELAS</t>
  </si>
  <si>
    <t>AVDA. ORILLAMAR, 173</t>
  </si>
  <si>
    <t>NUESTRA SEÑORA DE LAS FUENTES CLARAS</t>
  </si>
  <si>
    <t>AZNALCOLLAR</t>
  </si>
  <si>
    <t>ESTERRI D'ANEU</t>
  </si>
  <si>
    <t>SA POBLA</t>
  </si>
  <si>
    <t>TRAJINEROS, S/N</t>
  </si>
  <si>
    <t>LA PUEBLA</t>
  </si>
  <si>
    <t>JOSE LUIS HOLGUIN</t>
  </si>
  <si>
    <t>CASTUERA</t>
  </si>
  <si>
    <t>ZALAMEA DE LA SERENA</t>
  </si>
  <si>
    <t>ILLORA</t>
  </si>
  <si>
    <t>MONFORTE DEL CID</t>
  </si>
  <si>
    <t>ABADIN</t>
  </si>
  <si>
    <t>GONTAN</t>
  </si>
  <si>
    <t>FUTURGAS</t>
  </si>
  <si>
    <t>GRIÑON</t>
  </si>
  <si>
    <t>RIAÑO</t>
  </si>
  <si>
    <t>BAÑARES</t>
  </si>
  <si>
    <t>ALCADOZO</t>
  </si>
  <si>
    <t>CADAVO</t>
  </si>
  <si>
    <t>HOYO DE MANZANARES</t>
  </si>
  <si>
    <t>DELTA OIL</t>
  </si>
  <si>
    <t>BOLAÑOS DE CALATRAVA</t>
  </si>
  <si>
    <t>LOS LLANOS</t>
  </si>
  <si>
    <t>AZUARA</t>
  </si>
  <si>
    <t>ALMAGRO</t>
  </si>
  <si>
    <t>ASUNCION</t>
  </si>
  <si>
    <t>TORRENTE</t>
  </si>
  <si>
    <t>HOSPITAL DE ORBIGO</t>
  </si>
  <si>
    <t>VITIGUDINO</t>
  </si>
  <si>
    <t>PETROLARANJUEZ</t>
  </si>
  <si>
    <t>SAN ANTONIO</t>
  </si>
  <si>
    <t>LINARES DE RIOFRIO</t>
  </si>
  <si>
    <t>A GANDARA</t>
  </si>
  <si>
    <t>AVDA. DEL MAR, 96 - P.I. LA GANDARA, PARCELAS 96-97</t>
  </si>
  <si>
    <t>NARON</t>
  </si>
  <si>
    <t>CARO</t>
  </si>
  <si>
    <t>EL BAULAR, 11</t>
  </si>
  <si>
    <t>ZALLA</t>
  </si>
  <si>
    <t>LEPE CARBURANTES</t>
  </si>
  <si>
    <t>LEPE</t>
  </si>
  <si>
    <t>MORALEJA DE ENMEDIO</t>
  </si>
  <si>
    <t>ALMARGEN</t>
  </si>
  <si>
    <t>PATRICIO CHAMORRO</t>
  </si>
  <si>
    <t>ALMANSA, 2</t>
  </si>
  <si>
    <t>ESTACION DE SERVICIO CUESTA</t>
  </si>
  <si>
    <t>TORRECILLAS DE LA TIESA</t>
  </si>
  <si>
    <t>AVENIDA DEL MAR</t>
  </si>
  <si>
    <t>AVDA. DEL MAR, S/N - PARAJE SANTA MARGARITA, 7</t>
  </si>
  <si>
    <t>PALAFRUGELL</t>
  </si>
  <si>
    <t>LA CORONADA</t>
  </si>
  <si>
    <t>PASEO NUEVO, S/N - AVDA. JOSE MARIA PEMAN, S/N</t>
  </si>
  <si>
    <t>CALAÑAS</t>
  </si>
  <si>
    <t>ALCALA DEL RIO</t>
  </si>
  <si>
    <t>FEYGA</t>
  </si>
  <si>
    <t>GASOFUEL</t>
  </si>
  <si>
    <t>GUADALAJARA</t>
  </si>
  <si>
    <t>LAS LOMAS</t>
  </si>
  <si>
    <t>BENAJARAFE</t>
  </si>
  <si>
    <t>LOS TILOS</t>
  </si>
  <si>
    <t>TEO</t>
  </si>
  <si>
    <t>HERMANOS GONSALO</t>
  </si>
  <si>
    <t>CARRETERA DE NIJAR, S/N (JUNTO A SEMINARIO)</t>
  </si>
  <si>
    <t>YESTE</t>
  </si>
  <si>
    <t>ALORSA</t>
  </si>
  <si>
    <t>AGUAS NUEVAS</t>
  </si>
  <si>
    <t>SAN DIEGO</t>
  </si>
  <si>
    <t>ATRALES, 34</t>
  </si>
  <si>
    <t>CUEVAS DE ALMANZORA</t>
  </si>
  <si>
    <t>FUENTES DE ANDALUCIA</t>
  </si>
  <si>
    <t>NUESTRA SEÑORA AGUASANTA</t>
  </si>
  <si>
    <t>VILLAVERDE DEL RIO</t>
  </si>
  <si>
    <t>FUENTE DEL MAESTRE</t>
  </si>
  <si>
    <t>HUMANES</t>
  </si>
  <si>
    <t>GRAN CAPITAN</t>
  </si>
  <si>
    <t>LAS VIÑAS</t>
  </si>
  <si>
    <t>AGUILAR DE LA FRONTERA</t>
  </si>
  <si>
    <t>ABLA</t>
  </si>
  <si>
    <t>LA ESTRELLA DE SEVILLA</t>
  </si>
  <si>
    <t>PUERTO REAL</t>
  </si>
  <si>
    <t>S'ARANJASSA</t>
  </si>
  <si>
    <t>CAMFERVISA</t>
  </si>
  <si>
    <t>GIJON</t>
  </si>
  <si>
    <t>VILLAR DE CHINCHILLA</t>
  </si>
  <si>
    <t>COLMENERO</t>
  </si>
  <si>
    <t>LA FUENTE DE SAN ESTEBAN</t>
  </si>
  <si>
    <t>A ROSAREIRA</t>
  </si>
  <si>
    <t>SARRIA</t>
  </si>
  <si>
    <t>LOS CHORROS</t>
  </si>
  <si>
    <t>RIOPAR</t>
  </si>
  <si>
    <t>RAIGADA TORO</t>
  </si>
  <si>
    <t>TORO</t>
  </si>
  <si>
    <t>AZUCAICA</t>
  </si>
  <si>
    <t>CARBURANTES CANIDO</t>
  </si>
  <si>
    <t>HERMANOS GALLARDO</t>
  </si>
  <si>
    <t>LINARES</t>
  </si>
  <si>
    <t>CALAMONTE</t>
  </si>
  <si>
    <t>AVDA. DE EXTREMADURA, 76</t>
  </si>
  <si>
    <t>MALAGON</t>
  </si>
  <si>
    <t>EL PAULAR</t>
  </si>
  <si>
    <t>RASCAFRIA</t>
  </si>
  <si>
    <t>BASEVA</t>
  </si>
  <si>
    <t>POLIGONO INDUSTRIAL LA FERRERIA, S/N</t>
  </si>
  <si>
    <t>MONCADA Y REIXACH</t>
  </si>
  <si>
    <t>GASOLINERA DEL PUERTO</t>
  </si>
  <si>
    <t>ROCAFORT Y VILUMARA</t>
  </si>
  <si>
    <t>CAMPOL-MONCADA</t>
  </si>
  <si>
    <t>MONCADA</t>
  </si>
  <si>
    <t>ALQUERIA BLANCA</t>
  </si>
  <si>
    <t>CONVENTO, 29</t>
  </si>
  <si>
    <t>CERRO CABAÑA II</t>
  </si>
  <si>
    <t>GETAFE II</t>
  </si>
  <si>
    <t>PASEO DE COLON</t>
  </si>
  <si>
    <t>EL ESCORIAL</t>
  </si>
  <si>
    <t>BROZAS</t>
  </si>
  <si>
    <t>TORREJONCILLO</t>
  </si>
  <si>
    <t>BUITRAGO</t>
  </si>
  <si>
    <t>LLUBI</t>
  </si>
  <si>
    <t>LA CARRETERA, 69</t>
  </si>
  <si>
    <t>BERLIN</t>
  </si>
  <si>
    <t>SIETE PALMAS</t>
  </si>
  <si>
    <t>AVDA. PINTOR FELO MONZON, 48</t>
  </si>
  <si>
    <t>GRAN TARAJAL</t>
  </si>
  <si>
    <t>BARRANCO BALOS I</t>
  </si>
  <si>
    <t>AGÜIMES</t>
  </si>
  <si>
    <t>MIRADOR DE TINOCA</t>
  </si>
  <si>
    <t>ARUCAS</t>
  </si>
  <si>
    <t>BUEN LUGAR</t>
  </si>
  <si>
    <t>FIRGAS</t>
  </si>
  <si>
    <t>GALDAR</t>
  </si>
  <si>
    <t>BAJADA DE LAS GUAYARMINAS, 33</t>
  </si>
  <si>
    <t>INGENIO</t>
  </si>
  <si>
    <t>AVDA. JULIANO BONNY, 36-38 ESQUINA CHURRUCA</t>
  </si>
  <si>
    <t>MUELLE GRANDE</t>
  </si>
  <si>
    <t>EXPLANADA TOMAS QUEVEDO, 16 - MUELLE GRANDE, S/N</t>
  </si>
  <si>
    <t>LA MARINA</t>
  </si>
  <si>
    <t>DARSENA DE EMBARCACIONES MENORES - MUELLE DEPORTIVO DE LAS PALMAS</t>
  </si>
  <si>
    <t>MASPALOMAS</t>
  </si>
  <si>
    <t>BAJAMAR</t>
  </si>
  <si>
    <t>LOS SAUCES</t>
  </si>
  <si>
    <t>SAN ANDRES Y SAUCES</t>
  </si>
  <si>
    <t>GUIMAR</t>
  </si>
  <si>
    <t>ICOD</t>
  </si>
  <si>
    <t>PUERTO DE LA CRUZ</t>
  </si>
  <si>
    <t>CTRA. DEL BOTANICO, S/N</t>
  </si>
  <si>
    <t>VUELTA LOS PAJAROS</t>
  </si>
  <si>
    <t>EL PEÑON</t>
  </si>
  <si>
    <t>TACORONTE</t>
  </si>
  <si>
    <t>PLAZA DEL PINO</t>
  </si>
  <si>
    <t>PASEO DE CHIL, 2</t>
  </si>
  <si>
    <t>HOYA DEL PARRADO</t>
  </si>
  <si>
    <t>TINOCA</t>
  </si>
  <si>
    <t>BARRANCO BALOS II</t>
  </si>
  <si>
    <t>MONUMENTAL</t>
  </si>
  <si>
    <t>GENERAL ASTILLEROS, 2</t>
  </si>
  <si>
    <t>MELILLA</t>
  </si>
  <si>
    <t>NUEVA HIPICA</t>
  </si>
  <si>
    <t>GENERAL ASTILLEROS, 99</t>
  </si>
  <si>
    <t>LAS MARGARITAS</t>
  </si>
  <si>
    <t>DALIA ESQ. PASEO DE LAS MARGARITAS</t>
  </si>
  <si>
    <t>BAÑERA</t>
  </si>
  <si>
    <t>EJEA DE LOS CABALLEROS</t>
  </si>
  <si>
    <t>MARTIN</t>
  </si>
  <si>
    <t>EL PUNTO</t>
  </si>
  <si>
    <t>SON ARMADAMS</t>
  </si>
  <si>
    <t>MADRIDEJOS</t>
  </si>
  <si>
    <t>MOLINA</t>
  </si>
  <si>
    <t>MOLINA DE SEGURA</t>
  </si>
  <si>
    <t>PINA DE EBRO</t>
  </si>
  <si>
    <t>TENA</t>
  </si>
  <si>
    <t>NULES</t>
  </si>
  <si>
    <t>VORALTER</t>
  </si>
  <si>
    <t>LA SAL</t>
  </si>
  <si>
    <t>RIO DE JANEIRO</t>
  </si>
  <si>
    <t>CARAVACA DE LA CRUZ</t>
  </si>
  <si>
    <t>EL ALGAR</t>
  </si>
  <si>
    <t>NIEBLA</t>
  </si>
  <si>
    <t>SAN JAVIER</t>
  </si>
  <si>
    <t>LLORET</t>
  </si>
  <si>
    <t>LLORET DE MAR</t>
  </si>
  <si>
    <t>ALMORADI</t>
  </si>
  <si>
    <t>EL PASO II</t>
  </si>
  <si>
    <t>ACEBAL I</t>
  </si>
  <si>
    <t>CONSUEGRA</t>
  </si>
  <si>
    <t>SOMOSIERRA</t>
  </si>
  <si>
    <t>MONTECARMELO</t>
  </si>
  <si>
    <t>LANDA</t>
  </si>
  <si>
    <t>EL POTRO BLANCO</t>
  </si>
  <si>
    <t>LA CAROLINA</t>
  </si>
  <si>
    <t>MUROS</t>
  </si>
  <si>
    <t>MURO DE ALCOY</t>
  </si>
  <si>
    <t>ALCANTARILLA</t>
  </si>
  <si>
    <t>SANGONERA LA SECA</t>
  </si>
  <si>
    <t>RIBARROJA</t>
  </si>
  <si>
    <t>RIBARROJA DE TURIA</t>
  </si>
  <si>
    <t>CARIÑENA</t>
  </si>
  <si>
    <t>SANTA COMBA</t>
  </si>
  <si>
    <t>LUCO</t>
  </si>
  <si>
    <t>BARRACAS</t>
  </si>
  <si>
    <t>CINC PONTS</t>
  </si>
  <si>
    <t>VENTA ALVAREZ</t>
  </si>
  <si>
    <t>BABEL</t>
  </si>
  <si>
    <t>DIGES CUATRO CAMINOS</t>
  </si>
  <si>
    <t>POLLENSA</t>
  </si>
  <si>
    <t>ALCUDIA</t>
  </si>
  <si>
    <t>MITRE</t>
  </si>
  <si>
    <t>MONTORO</t>
  </si>
  <si>
    <t>MOLINA DE ARAGON II</t>
  </si>
  <si>
    <t>MOLINA DE ARAGON</t>
  </si>
  <si>
    <t>MOIA</t>
  </si>
  <si>
    <t>GUALDA</t>
  </si>
  <si>
    <t>AGUILAS</t>
  </si>
  <si>
    <t>POLA DE LENA</t>
  </si>
  <si>
    <t>TORRELAVEGA</t>
  </si>
  <si>
    <t>SANTA POLA</t>
  </si>
  <si>
    <t>ULLARO</t>
  </si>
  <si>
    <t>CAMPANET</t>
  </si>
  <si>
    <t>IRUN</t>
  </si>
  <si>
    <t>SAN ESTEBAN</t>
  </si>
  <si>
    <t>SAN ESTEBAN DEL MOLAR</t>
  </si>
  <si>
    <t>DANTXARINEA II</t>
  </si>
  <si>
    <t>URDAX</t>
  </si>
  <si>
    <t>CABANELLES</t>
  </si>
  <si>
    <t>VALDEVILLA</t>
  </si>
  <si>
    <t>LOS ANGELES</t>
  </si>
  <si>
    <t>LA CAÑADA DE SAN URBANO</t>
  </si>
  <si>
    <t>AZUQUECA DE HENARES</t>
  </si>
  <si>
    <t>LODOSA</t>
  </si>
  <si>
    <t>ANGLES</t>
  </si>
  <si>
    <t>TANAGAS I</t>
  </si>
  <si>
    <t>TOTANA</t>
  </si>
  <si>
    <t>LA ROMERA</t>
  </si>
  <si>
    <t>EPILA</t>
  </si>
  <si>
    <t>ULEA</t>
  </si>
  <si>
    <t>LAS ROSAS</t>
  </si>
  <si>
    <t>ESCALONA</t>
  </si>
  <si>
    <t>CARANAISA</t>
  </si>
  <si>
    <t>PACAR</t>
  </si>
  <si>
    <t>VIRGEN DE LA PEÑA</t>
  </si>
  <si>
    <t>TRASONA</t>
  </si>
  <si>
    <t>CIFUENTES</t>
  </si>
  <si>
    <t>VILLAREJO DE SALVANES</t>
  </si>
  <si>
    <t>BRUNETE</t>
  </si>
  <si>
    <t>NAVALCARNERO</t>
  </si>
  <si>
    <t>CALYPSO</t>
  </si>
  <si>
    <t>SANTA MARTA</t>
  </si>
  <si>
    <t>LES BASSES</t>
  </si>
  <si>
    <t>MONTSERRAT I</t>
  </si>
  <si>
    <t>MONTSERRAT II</t>
  </si>
  <si>
    <t>NAVALCARNERO II</t>
  </si>
  <si>
    <t>LA RETAMA</t>
  </si>
  <si>
    <t>VILLECA II</t>
  </si>
  <si>
    <t>LEGANES</t>
  </si>
  <si>
    <t>JALON</t>
  </si>
  <si>
    <t>EL ROLLO</t>
  </si>
  <si>
    <t>POLIGONO HERMES</t>
  </si>
  <si>
    <t>CLAREVOT</t>
  </si>
  <si>
    <t>ALMADRONES</t>
  </si>
  <si>
    <t>TANAGAS II</t>
  </si>
  <si>
    <t>LORCA</t>
  </si>
  <si>
    <t>GUARDAMAR DEL SEGURA</t>
  </si>
  <si>
    <t>GENOVES</t>
  </si>
  <si>
    <t>PALMERES</t>
  </si>
  <si>
    <t>FUENGIROLA</t>
  </si>
  <si>
    <t>HUMANES I</t>
  </si>
  <si>
    <t>CONSUMAL</t>
  </si>
  <si>
    <t>ALCAZAR DE SAN JUAN</t>
  </si>
  <si>
    <t>SANDINO II</t>
  </si>
  <si>
    <t>VILLODRIGO</t>
  </si>
  <si>
    <t>LA FUENSANTA</t>
  </si>
  <si>
    <t>CUATRO CARRETERAS II</t>
  </si>
  <si>
    <t>TONA</t>
  </si>
  <si>
    <t>HUMANES II</t>
  </si>
  <si>
    <t>VELILLA DE SAN ANTONIO</t>
  </si>
  <si>
    <t>EL TAJO</t>
  </si>
  <si>
    <t>MUCHAMIEL</t>
  </si>
  <si>
    <t>TORIJA</t>
  </si>
  <si>
    <t>SAN ENRIQUE DE GUADIARO</t>
  </si>
  <si>
    <t>LA SENTIU</t>
  </si>
  <si>
    <t>GAVA</t>
  </si>
  <si>
    <t>VERACRUZ</t>
  </si>
  <si>
    <t>VILLA DEL PRADO</t>
  </si>
  <si>
    <t>SANTA TECLA</t>
  </si>
  <si>
    <t>ALDEA DEL FRESNO</t>
  </si>
  <si>
    <t>FORMENTERA</t>
  </si>
  <si>
    <t>LAS SALINAS</t>
  </si>
  <si>
    <t>VILLA DE NOYA</t>
  </si>
  <si>
    <t>NOYA</t>
  </si>
  <si>
    <t>SANDINO I</t>
  </si>
  <si>
    <t>BOECILLO</t>
  </si>
  <si>
    <t>MAROS</t>
  </si>
  <si>
    <t>TORENO DEL SIL</t>
  </si>
  <si>
    <t>SIMANCAS</t>
  </si>
  <si>
    <t>LA SELVA</t>
  </si>
  <si>
    <t>MALLORCA-1</t>
  </si>
  <si>
    <t>SANT NARCIS</t>
  </si>
  <si>
    <t>BORRIOL</t>
  </si>
  <si>
    <t>MALLORCA-2</t>
  </si>
  <si>
    <t>BOADILLA</t>
  </si>
  <si>
    <t>BOADILLA DEL MONTE</t>
  </si>
  <si>
    <t>XIXONA</t>
  </si>
  <si>
    <t>LA CHIMENEA</t>
  </si>
  <si>
    <t>EL OASIS</t>
  </si>
  <si>
    <t>CARCHEL</t>
  </si>
  <si>
    <t>SANTA ELENA</t>
  </si>
  <si>
    <t>COBATILLAS</t>
  </si>
  <si>
    <t>NUESTRA SEÑORA DEL CARMEN</t>
  </si>
  <si>
    <t>VEGAS BAJAS</t>
  </si>
  <si>
    <t>TRAPAGA</t>
  </si>
  <si>
    <t>VILLAVICIOSA</t>
  </si>
  <si>
    <t>VILLAVICIOSA DE ODON</t>
  </si>
  <si>
    <t>PEDROSILLO I</t>
  </si>
  <si>
    <t>PEDROSILLO EL RALO</t>
  </si>
  <si>
    <t>EL RELAMPAGO</t>
  </si>
  <si>
    <t>RIBADAVIA</t>
  </si>
  <si>
    <t>GREEMOIL</t>
  </si>
  <si>
    <t>VALDICIO</t>
  </si>
  <si>
    <t>PONTEAREAS</t>
  </si>
  <si>
    <t>COLUNGA MAR</t>
  </si>
  <si>
    <t>COLUNGA</t>
  </si>
  <si>
    <t>COLUNGA TIERRA</t>
  </si>
  <si>
    <t>CERDANYOLA II</t>
  </si>
  <si>
    <t>IBI</t>
  </si>
  <si>
    <t>RIPOLL</t>
  </si>
  <si>
    <t>RIPOLL II</t>
  </si>
  <si>
    <t>ROBLEDO DE LA VALDONCINA I</t>
  </si>
  <si>
    <t>VALVERDE DE LA VIRGEN</t>
  </si>
  <si>
    <t>ROBLEDO DE LA VALDONCINA II</t>
  </si>
  <si>
    <t>MULLER MACHADO</t>
  </si>
  <si>
    <t>CHILLARON DE CUENCA</t>
  </si>
  <si>
    <t>SANTANDER</t>
  </si>
  <si>
    <t>IBARBURU</t>
  </si>
  <si>
    <t>ALDEANUEVA DEL CAMINO</t>
  </si>
  <si>
    <t>PEDROSILLO II</t>
  </si>
  <si>
    <t>NAVIA</t>
  </si>
  <si>
    <t>BLANCA</t>
  </si>
  <si>
    <t>JAVEA</t>
  </si>
  <si>
    <t>LA POBLA DE VALLBONA</t>
  </si>
  <si>
    <t>VOLTASUR</t>
  </si>
  <si>
    <t>EL NAVARRO</t>
  </si>
  <si>
    <t>PUNTA PRIMA</t>
  </si>
  <si>
    <t>LA PUEBLA DE VALVERDE</t>
  </si>
  <si>
    <t>TORRESBLANCAS</t>
  </si>
  <si>
    <t>RONDA SUR</t>
  </si>
  <si>
    <t>MARTIN DE YELTES I</t>
  </si>
  <si>
    <t>MARTIN DE YELTES</t>
  </si>
  <si>
    <t>MARTIN DE YELTES II</t>
  </si>
  <si>
    <t>NUEVO MESOIRO</t>
  </si>
  <si>
    <t>CAMINREAL</t>
  </si>
  <si>
    <t>SIERRA DE MUELA</t>
  </si>
  <si>
    <t>ALHAMA DE MURCIA</t>
  </si>
  <si>
    <t>SEDAVI</t>
  </si>
  <si>
    <t>CIM DEL CAMP</t>
  </si>
  <si>
    <t>CHURRA</t>
  </si>
  <si>
    <t>FINESTRAT</t>
  </si>
  <si>
    <t>DANTXARINEA</t>
  </si>
  <si>
    <t>ARMILLA</t>
  </si>
  <si>
    <t>RONDA NORTE</t>
  </si>
  <si>
    <t>MORAIRA</t>
  </si>
  <si>
    <t>VIRGISA</t>
  </si>
  <si>
    <t>SABADELL SUR</t>
  </si>
  <si>
    <t>LOS PARTIDORES</t>
  </si>
  <si>
    <t>VILLABONA</t>
  </si>
  <si>
    <t>ARCO SAN PEDRO</t>
  </si>
  <si>
    <t>SANTA FAZ</t>
  </si>
  <si>
    <t>LAS COLONIAS</t>
  </si>
  <si>
    <t>CASTELLANOS DE MORISCOS</t>
  </si>
  <si>
    <t>SAN BERNARDO</t>
  </si>
  <si>
    <t>VILLALBA I</t>
  </si>
  <si>
    <t>BARBATE DE FRANCO</t>
  </si>
  <si>
    <t>MAREO</t>
  </si>
  <si>
    <t>ACEBAL II</t>
  </si>
  <si>
    <t>LOS ARCOS</t>
  </si>
  <si>
    <t>MASARROCHOS</t>
  </si>
  <si>
    <t>VILANOVA-3</t>
  </si>
  <si>
    <t>ARRICETA I</t>
  </si>
  <si>
    <t>USURBIL</t>
  </si>
  <si>
    <t>ARRICETA II</t>
  </si>
  <si>
    <t>PINO DO VAL</t>
  </si>
  <si>
    <t>OYARZUN</t>
  </si>
  <si>
    <t>MONTBLANC I</t>
  </si>
  <si>
    <t>MONTBLANC II</t>
  </si>
  <si>
    <t>LA MARINA I</t>
  </si>
  <si>
    <t>LA MARINA II</t>
  </si>
  <si>
    <t>LA PILARICA</t>
  </si>
  <si>
    <t>S'AGARO</t>
  </si>
  <si>
    <t>BENICARLO II</t>
  </si>
  <si>
    <t>BENICARLO I</t>
  </si>
  <si>
    <t>PETROCAR</t>
  </si>
  <si>
    <t>FRAGA</t>
  </si>
  <si>
    <t>EMPORDA</t>
  </si>
  <si>
    <t>GARRIGAS</t>
  </si>
  <si>
    <t>CRUCE DE ESPEJA</t>
  </si>
  <si>
    <t>ESPEJA</t>
  </si>
  <si>
    <t>VILLECA I</t>
  </si>
  <si>
    <t>PINA I</t>
  </si>
  <si>
    <t>PINA II</t>
  </si>
  <si>
    <t>BRIVIESCA I</t>
  </si>
  <si>
    <t>BRIVIESCA</t>
  </si>
  <si>
    <t>BRIVIESCA II</t>
  </si>
  <si>
    <t>LAS CABEZAS DE SAN JUAN</t>
  </si>
  <si>
    <t>AMEYUGO I</t>
  </si>
  <si>
    <t>AMEYUGO</t>
  </si>
  <si>
    <t>AMEYUGO II</t>
  </si>
  <si>
    <t>VILLALBA II</t>
  </si>
  <si>
    <t>EL PARDO I</t>
  </si>
  <si>
    <t>CUATRO CARRETERAS I</t>
  </si>
  <si>
    <t>FUENTE ALAMO</t>
  </si>
  <si>
    <t>BOLUETA</t>
  </si>
  <si>
    <t>EL PARDO II</t>
  </si>
  <si>
    <t>LA CAZUELA</t>
  </si>
  <si>
    <t>SICAL</t>
  </si>
  <si>
    <t>EL MEDANO</t>
  </si>
  <si>
    <t>BARAMBIO</t>
  </si>
  <si>
    <t>RODEO</t>
  </si>
  <si>
    <t>ADEJE</t>
  </si>
  <si>
    <t>PLAYA DEL CHORRILLO</t>
  </si>
  <si>
    <t>REIVAJ</t>
  </si>
  <si>
    <t>EMBAJADORES, 83</t>
  </si>
  <si>
    <t>ESTACION S.S. DE LOS REYES</t>
  </si>
  <si>
    <t>SENDRA SOLBES</t>
  </si>
  <si>
    <t>VILLAFRANCA DEL CID</t>
  </si>
  <si>
    <t>CIENFUEGOS</t>
  </si>
  <si>
    <t>VILLANUEVA DE LA SERENA</t>
  </si>
  <si>
    <t>HERMANOS PALOP</t>
  </si>
  <si>
    <t>ALBAIDA</t>
  </si>
  <si>
    <t>EL PEDERNOSO</t>
  </si>
  <si>
    <t>CURRO VARGAS</t>
  </si>
  <si>
    <t>PUENTE TOLEDANO, S/N</t>
  </si>
  <si>
    <t>HIDALGO GONZALEZ</t>
  </si>
  <si>
    <t>CICA</t>
  </si>
  <si>
    <t>MANZANARES-TARANCON</t>
  </si>
  <si>
    <t>TARANCON</t>
  </si>
  <si>
    <t>CRISTO DE LA ANTIGUA</t>
  </si>
  <si>
    <t>PIEDRABUENA</t>
  </si>
  <si>
    <t>PONTEVEA</t>
  </si>
  <si>
    <t>CASALONGA-TEO</t>
  </si>
  <si>
    <t>MONTIJO</t>
  </si>
  <si>
    <t>CARMONED</t>
  </si>
  <si>
    <t>CASAS IBAÑEZ</t>
  </si>
  <si>
    <t>VELASCO</t>
  </si>
  <si>
    <t>CASPE</t>
  </si>
  <si>
    <t>LA PEDRESINA II</t>
  </si>
  <si>
    <t>PITEIRA CIBEIRA</t>
  </si>
  <si>
    <t>CARBALLINO</t>
  </si>
  <si>
    <t>DAGO</t>
  </si>
  <si>
    <t>AVDA. CATALUÑA, 44</t>
  </si>
  <si>
    <t>MIRALBUENO</t>
  </si>
  <si>
    <t>CTRA. LOGROÑO, 42</t>
  </si>
  <si>
    <t>VILLAQUIRAN</t>
  </si>
  <si>
    <t>VILLAQUIRAN DE LOS INFANTES</t>
  </si>
  <si>
    <t>MELLID</t>
  </si>
  <si>
    <t>LA MORENICA</t>
  </si>
  <si>
    <t>VILLENA</t>
  </si>
  <si>
    <t>JERONIMA POU</t>
  </si>
  <si>
    <t>SAN ANDRES</t>
  </si>
  <si>
    <t>EL BARCO DE VALDEORRAS</t>
  </si>
  <si>
    <t>MANUEL QUIROGA, 50</t>
  </si>
  <si>
    <t>BARALLA</t>
  </si>
  <si>
    <t>PUJANA LORENZO</t>
  </si>
  <si>
    <t>CORAZON DE MARIA, 76</t>
  </si>
  <si>
    <t>SERVICTORIA</t>
  </si>
  <si>
    <t>LA MUDARRA</t>
  </si>
  <si>
    <t>JADRAQUE</t>
  </si>
  <si>
    <t>CAMBADOS</t>
  </si>
  <si>
    <t>LAS ARENAS</t>
  </si>
  <si>
    <t>CANDELEDA</t>
  </si>
  <si>
    <t>MESEGO</t>
  </si>
  <si>
    <t>ALDEA QUINTANA</t>
  </si>
  <si>
    <t>ARCA</t>
  </si>
  <si>
    <t>EL PINO</t>
  </si>
  <si>
    <t>ESOER</t>
  </si>
  <si>
    <t>PLASENCIA</t>
  </si>
  <si>
    <t>GIL</t>
  </si>
  <si>
    <t>VALDERROBRES</t>
  </si>
  <si>
    <t>SETABENSES</t>
  </si>
  <si>
    <t>VERDERA</t>
  </si>
  <si>
    <t>VINAROZ</t>
  </si>
  <si>
    <t>LOS ROSALES</t>
  </si>
  <si>
    <t>ALMAZCARA</t>
  </si>
  <si>
    <t>SAN MIGUEL</t>
  </si>
  <si>
    <t>MARCHENA</t>
  </si>
  <si>
    <t>SUCARSU</t>
  </si>
  <si>
    <t>SUECA</t>
  </si>
  <si>
    <t>LA POBLA</t>
  </si>
  <si>
    <t>LA POBLA DE SEGUR</t>
  </si>
  <si>
    <t>SAN ARCADIO</t>
  </si>
  <si>
    <t>OSUNA</t>
  </si>
  <si>
    <t>MARIA ALIÑO MOLL</t>
  </si>
  <si>
    <t>PARROCO VIDAL, S/N</t>
  </si>
  <si>
    <t>ALCIRA</t>
  </si>
  <si>
    <t>BALLOBAR</t>
  </si>
  <si>
    <t>BENITO PEREZ GALDOS, 68</t>
  </si>
  <si>
    <t>GUIROPA</t>
  </si>
  <si>
    <t>AVDA. PIO XII, 6</t>
  </si>
  <si>
    <t>VILLANUEVA DE HUERVA</t>
  </si>
  <si>
    <t>A-1101, 16,5</t>
  </si>
  <si>
    <t>BECILLA DE VALDERADUEY</t>
  </si>
  <si>
    <t>LA MERCED</t>
  </si>
  <si>
    <t>CALATAYUD</t>
  </si>
  <si>
    <t>PEDRALBES</t>
  </si>
  <si>
    <t>AVDA. DE ESPLUGAS, 103</t>
  </si>
  <si>
    <t>AVDA. ANDALUCIA, S/N</t>
  </si>
  <si>
    <t>INLOCOR</t>
  </si>
  <si>
    <t>LOHANA</t>
  </si>
  <si>
    <t>ALGUEÑA</t>
  </si>
  <si>
    <t>SIGUEIRO</t>
  </si>
  <si>
    <t>SANTIAGO DE COMPOSTELA</t>
  </si>
  <si>
    <t>JIMENA DE LA FRONTERA</t>
  </si>
  <si>
    <t>CARTAMA</t>
  </si>
  <si>
    <t>RAXO</t>
  </si>
  <si>
    <t>RAJO</t>
  </si>
  <si>
    <t>SASTAGO</t>
  </si>
  <si>
    <t>SAN ROQUE, 126</t>
  </si>
  <si>
    <t>VENTA NUEVA I</t>
  </si>
  <si>
    <t>ALDEHUELA DE CALATAÑAZOR</t>
  </si>
  <si>
    <t>ZAIDIN</t>
  </si>
  <si>
    <t>CAÑADA ANCHA</t>
  </si>
  <si>
    <t>VIVAR</t>
  </si>
  <si>
    <t>QUINTANILLA VIVAR</t>
  </si>
  <si>
    <t>EL OLIVO</t>
  </si>
  <si>
    <t>LLERENA</t>
  </si>
  <si>
    <t>EL PUENTE</t>
  </si>
  <si>
    <t>GRADO</t>
  </si>
  <si>
    <t>PRAVIA</t>
  </si>
  <si>
    <t>ALBARRACIN</t>
  </si>
  <si>
    <t>MARBEL</t>
  </si>
  <si>
    <t>TORRIJOS</t>
  </si>
  <si>
    <t>EL LLANO</t>
  </si>
  <si>
    <t>LA GUARDIA</t>
  </si>
  <si>
    <t>AUTOLYT</t>
  </si>
  <si>
    <t>AGUILAS, 18 - P.I. LA ESTACION</t>
  </si>
  <si>
    <t>CULLEREDO</t>
  </si>
  <si>
    <t>AREA DE SERVICIO XIQUENA</t>
  </si>
  <si>
    <t>FIÑANA</t>
  </si>
  <si>
    <t>CEBREROS</t>
  </si>
  <si>
    <t>SAN VITERO</t>
  </si>
  <si>
    <t>ZA-913, 32,5</t>
  </si>
  <si>
    <t>EL FERROL</t>
  </si>
  <si>
    <t>SOBRADO</t>
  </si>
  <si>
    <t>PUEBLANUEVA</t>
  </si>
  <si>
    <t>LA PUEBLANUEVA</t>
  </si>
  <si>
    <t>ZAFRA</t>
  </si>
  <si>
    <t>ESTASER A SILVA</t>
  </si>
  <si>
    <t>CERCEDA</t>
  </si>
  <si>
    <t>LOS FILABRES</t>
  </si>
  <si>
    <t>TAHAL</t>
  </si>
  <si>
    <t>HERMANOS FALCO, 2</t>
  </si>
  <si>
    <t>SOTOGALO</t>
  </si>
  <si>
    <t>LOGROÑO</t>
  </si>
  <si>
    <t>RIOTORTO</t>
  </si>
  <si>
    <t>GASOPETROL</t>
  </si>
  <si>
    <t>URDIALES DEL PARAMO</t>
  </si>
  <si>
    <t>FELIX BUQUERIN</t>
  </si>
  <si>
    <t>FRESNO DE CANTESPINO</t>
  </si>
  <si>
    <t>LA POBLA DEL DUQUE</t>
  </si>
  <si>
    <t>PUEBLA DEL DUC</t>
  </si>
  <si>
    <t>O ACEBREIRO</t>
  </si>
  <si>
    <t>PASTORIZA</t>
  </si>
  <si>
    <t>ORIA</t>
  </si>
  <si>
    <t>FREILA</t>
  </si>
  <si>
    <t>GASERNAV</t>
  </si>
  <si>
    <t>CASAS DE DON PEDRO</t>
  </si>
  <si>
    <t>SAN MARTIN</t>
  </si>
  <si>
    <t>C-612, 6,2</t>
  </si>
  <si>
    <t>MONFARRACINOS</t>
  </si>
  <si>
    <t>POL</t>
  </si>
  <si>
    <t>AIDA</t>
  </si>
  <si>
    <t>AVDA. CONSTITUCION, 167</t>
  </si>
  <si>
    <t>CARBURANTES DEL SUR</t>
  </si>
  <si>
    <t>LA PUERTA DE SEGURA</t>
  </si>
  <si>
    <t>SANTA URSULA</t>
  </si>
  <si>
    <t>EL MARTILLO</t>
  </si>
  <si>
    <t>CUEVAS DE SAN MARCOS</t>
  </si>
  <si>
    <t>CAMINO DEL ROCIO</t>
  </si>
  <si>
    <t>POR PEINETO</t>
  </si>
  <si>
    <t>CAMPOLAMEIRO</t>
  </si>
  <si>
    <t>PARIS URGEL</t>
  </si>
  <si>
    <t>CONDE DE URGEL, 219-221</t>
  </si>
  <si>
    <t>CASTEJON DEL PUENTE</t>
  </si>
  <si>
    <t>HOSTAL ATENEO</t>
  </si>
  <si>
    <t>REINO</t>
  </si>
  <si>
    <t>MICROPOLIGONO INDUSTRIAL SAN JORGE 68</t>
  </si>
  <si>
    <t>SILLEDA</t>
  </si>
  <si>
    <t>SALGADO Y ORTA</t>
  </si>
  <si>
    <t>VILLABLANCA</t>
  </si>
  <si>
    <t>OTERICO</t>
  </si>
  <si>
    <t>RIELLO</t>
  </si>
  <si>
    <t>CAMPOHERMOSO</t>
  </si>
  <si>
    <t>LA MILAGROSA</t>
  </si>
  <si>
    <t>TABERNO</t>
  </si>
  <si>
    <t>ALGODA</t>
  </si>
  <si>
    <t>LA ZARZUELA</t>
  </si>
  <si>
    <t>ALOSNO</t>
  </si>
  <si>
    <t>SERVICADARIO</t>
  </si>
  <si>
    <t>CANGAS DE NARCEA</t>
  </si>
  <si>
    <t>TRUCHAS</t>
  </si>
  <si>
    <t>EL JIMENADO</t>
  </si>
  <si>
    <t>TORREPACHECO</t>
  </si>
  <si>
    <t>TORREJON DE VELASCO</t>
  </si>
  <si>
    <t>ARROYO PERONA</t>
  </si>
  <si>
    <t>LA IRUELA</t>
  </si>
  <si>
    <t>AREA 77-II</t>
  </si>
  <si>
    <t>BELINCHON</t>
  </si>
  <si>
    <t>AREA 77-I</t>
  </si>
  <si>
    <t>COSPEITO</t>
  </si>
  <si>
    <t>PEÑAFLOR</t>
  </si>
  <si>
    <t>A-123, 10,4</t>
  </si>
  <si>
    <t>PEÑAFLOR DE GALLEGO</t>
  </si>
  <si>
    <t>VIRGEN DE LA CABEZA</t>
  </si>
  <si>
    <t>BENAMAUREL</t>
  </si>
  <si>
    <t>JUANFER</t>
  </si>
  <si>
    <t>SANTA MARIA DE LOS CABALLEROS</t>
  </si>
  <si>
    <t>BRIEVES</t>
  </si>
  <si>
    <t>ESTACIÓN DE SERVICIOS DAIMIEL</t>
  </si>
  <si>
    <t>DAIMIEL</t>
  </si>
  <si>
    <t>OS CARBALLOS</t>
  </si>
  <si>
    <t>OROSO</t>
  </si>
  <si>
    <t>ROTONDA IBIZA</t>
  </si>
  <si>
    <t>ALCALDE BARTOLOMEU ROSELLO, 2 - VIA RONDA IBIZA, PASEO MARITIMO, S/N</t>
  </si>
  <si>
    <t>NAVARRO II</t>
  </si>
  <si>
    <t>ALCACER</t>
  </si>
  <si>
    <t>TAMACA AUTOCENTRO</t>
  </si>
  <si>
    <t>ARANDA DE DUERO</t>
  </si>
  <si>
    <t>BECARES</t>
  </si>
  <si>
    <t>ALGAR</t>
  </si>
  <si>
    <t>ALTEA LA VIEJA</t>
  </si>
  <si>
    <t>XALLAS</t>
  </si>
  <si>
    <t>ALGARROBO</t>
  </si>
  <si>
    <t>PASTORGAS</t>
  </si>
  <si>
    <t>BARAÑAIN</t>
  </si>
  <si>
    <t>URB. PAMPLONA, RONDA BARAÑAIN, 2 - AVDA. CENTRAL, 2</t>
  </si>
  <si>
    <t>EL MONCAYO</t>
  </si>
  <si>
    <t>PARACUELLOS</t>
  </si>
  <si>
    <t>PARACUELLOS DE JARAMA</t>
  </si>
  <si>
    <t>BECERRIL</t>
  </si>
  <si>
    <t>ALAR DEL REY</t>
  </si>
  <si>
    <t>EL POLIGONO</t>
  </si>
  <si>
    <t>PORCUNA</t>
  </si>
  <si>
    <t>BUQUERIN</t>
  </si>
  <si>
    <t>CASTILLEJO DE MESLEON</t>
  </si>
  <si>
    <t>VILATUXE</t>
  </si>
  <si>
    <t>VILLATUGE</t>
  </si>
  <si>
    <t>DACON</t>
  </si>
  <si>
    <t>MASIDE</t>
  </si>
  <si>
    <t>MELON</t>
  </si>
  <si>
    <t>COMBUSTIBLES Y LUBRICANTES LA NICOBA</t>
  </si>
  <si>
    <t>GRIJOTA</t>
  </si>
  <si>
    <t>GUNTÍN-CRUZ DA VEIGA</t>
  </si>
  <si>
    <t>CTRA. LOUSADA-VEIGA, PK 0.1</t>
  </si>
  <si>
    <t>GUNTIN</t>
  </si>
  <si>
    <t>EL VISO DE SAN JUAN</t>
  </si>
  <si>
    <t>HENARES</t>
  </si>
  <si>
    <t>AVDA. ESPAÑA, 118</t>
  </si>
  <si>
    <t>MORALZARZAL</t>
  </si>
  <si>
    <t>PASEO SAN ISIDRO, 14, ESQUINA ESTACION</t>
  </si>
  <si>
    <t>N-330, 488,2</t>
  </si>
  <si>
    <t>CUARTE DE HUERVA</t>
  </si>
  <si>
    <t>SUBIJANA</t>
  </si>
  <si>
    <t>SUBIJANA DE ALAVA</t>
  </si>
  <si>
    <t>VENTA DEL SOL</t>
  </si>
  <si>
    <t>BAZA</t>
  </si>
  <si>
    <t>GRANXEIRO</t>
  </si>
  <si>
    <t>MEIRA</t>
  </si>
  <si>
    <t>ECIJA</t>
  </si>
  <si>
    <t>GARLOU</t>
  </si>
  <si>
    <t>BOIRO</t>
  </si>
  <si>
    <t>GEMINA</t>
  </si>
  <si>
    <t>JUMILLA</t>
  </si>
  <si>
    <t>SARRION</t>
  </si>
  <si>
    <t>TRALLERO</t>
  </si>
  <si>
    <t>CALANDA</t>
  </si>
  <si>
    <t>NAVARRO</t>
  </si>
  <si>
    <t>NUESTRA SEÑORA DEL PILAR</t>
  </si>
  <si>
    <t>SAN MIGUEL DEL ARROYO</t>
  </si>
  <si>
    <t>JAIME I</t>
  </si>
  <si>
    <t>MONFORTE Y NUÑEZ</t>
  </si>
  <si>
    <t>JARANDILLA DE LA VERA</t>
  </si>
  <si>
    <t>LAS CASAS</t>
  </si>
  <si>
    <t>CECALMA</t>
  </si>
  <si>
    <t>GUSTEI</t>
  </si>
  <si>
    <t>GUSTEY</t>
  </si>
  <si>
    <t>EL SAGRARIO</t>
  </si>
  <si>
    <t>CARNOTA</t>
  </si>
  <si>
    <t>ESCLAVITUD - PADRÓN</t>
  </si>
  <si>
    <t>ESCLAVITUD-PADRON</t>
  </si>
  <si>
    <t>GEMA DIEZ</t>
  </si>
  <si>
    <t>VENTAS DE ZAFARRAYA</t>
  </si>
  <si>
    <t>HERMANOS CORDERO</t>
  </si>
  <si>
    <t>ARROYO DE LA LUZ</t>
  </si>
  <si>
    <t>LOS MOLINAS</t>
  </si>
  <si>
    <t>ALCUBILLAS</t>
  </si>
  <si>
    <t>VILLAMAYOR DE ARMUÑA</t>
  </si>
  <si>
    <t>JOVE</t>
  </si>
  <si>
    <t>AVDA. PRINCIPE DE ASTURIAS, 78</t>
  </si>
  <si>
    <t>AGUAVIVA</t>
  </si>
  <si>
    <t>EL CRISTO</t>
  </si>
  <si>
    <t>RAMON Y CAJAL, 71</t>
  </si>
  <si>
    <t>ALMADEN</t>
  </si>
  <si>
    <t>VILLACARRILLO</t>
  </si>
  <si>
    <t>EL PORTAL DEL PIRINEO</t>
  </si>
  <si>
    <t>ESTOPIÑAN DEL CASTILLO</t>
  </si>
  <si>
    <t>CARBURANTES PRIETO</t>
  </si>
  <si>
    <t>PEÑACABALLERA</t>
  </si>
  <si>
    <t>VILLAVIDAL-RAMIRAS</t>
  </si>
  <si>
    <t>RAMIRANES</t>
  </si>
  <si>
    <t>NUESTRA SEÑORA DEL ROSARIO</t>
  </si>
  <si>
    <t>JEDULA</t>
  </si>
  <si>
    <t>NAVALPERAL DE PINARES</t>
  </si>
  <si>
    <t>LA HERRADURA</t>
  </si>
  <si>
    <t>ALMUÑECAR</t>
  </si>
  <si>
    <t>VALLDAURA</t>
  </si>
  <si>
    <t>ARAGON-CASANOVA</t>
  </si>
  <si>
    <t>CASANOVA, 89</t>
  </si>
  <si>
    <t>PARDO ALBOSA</t>
  </si>
  <si>
    <t>LOS HUERTOS I</t>
  </si>
  <si>
    <t>HERMANOS BENITO HUETE</t>
  </si>
  <si>
    <t>VILLALBA DEL REY</t>
  </si>
  <si>
    <t>TOMIÑO</t>
  </si>
  <si>
    <t>SON VERI</t>
  </si>
  <si>
    <t>PILPA</t>
  </si>
  <si>
    <t>COTOBAD</t>
  </si>
  <si>
    <t>LA SIRENA</t>
  </si>
  <si>
    <t>LA PALMA</t>
  </si>
  <si>
    <t>LOJA</t>
  </si>
  <si>
    <t>LA GOTETA I</t>
  </si>
  <si>
    <t>EL CATLLAR</t>
  </si>
  <si>
    <t>CATLLAR</t>
  </si>
  <si>
    <t>CASTAÑARES</t>
  </si>
  <si>
    <t>CHINCHON</t>
  </si>
  <si>
    <t>LA CAMPIÑA</t>
  </si>
  <si>
    <t>SAN VICENTE DE BAÑA</t>
  </si>
  <si>
    <t>SAN VICENTE-LA BAÑA</t>
  </si>
  <si>
    <t>FARO</t>
  </si>
  <si>
    <t>ALCAUDETE</t>
  </si>
  <si>
    <t>ARANAOIL</t>
  </si>
  <si>
    <t>A-1503, 20,1</t>
  </si>
  <si>
    <t>ILLUECA</t>
  </si>
  <si>
    <t>CHILCHES</t>
  </si>
  <si>
    <t>ATALAYA</t>
  </si>
  <si>
    <t>ALMERIMAR</t>
  </si>
  <si>
    <t>CARRETERA ALMERIMAR, S/N - CENTRO COMERCIAL COPO</t>
  </si>
  <si>
    <t>CANONCHE</t>
  </si>
  <si>
    <t>VILLANUEVA DE CASTELLON</t>
  </si>
  <si>
    <t>LOS HUERTOS II</t>
  </si>
  <si>
    <t>LA VALLE</t>
  </si>
  <si>
    <t>AVDA. NAVARRA, 145-151</t>
  </si>
  <si>
    <t>ASPE</t>
  </si>
  <si>
    <t>SON SUNYER</t>
  </si>
  <si>
    <t>CAMINO DE LAS MARAVILLAS, S/N</t>
  </si>
  <si>
    <t>GAVISA PUERTO</t>
  </si>
  <si>
    <t>MUELLE SERRANO LLOBERAS - PUERTO DE CASTELLON</t>
  </si>
  <si>
    <t>GARCIBUR</t>
  </si>
  <si>
    <t>COBEÑA I</t>
  </si>
  <si>
    <t>COBEÑA</t>
  </si>
  <si>
    <t>FERRERIAS</t>
  </si>
  <si>
    <t>POLIGONO INDUSTRIAL DE FERRERIES, CALLE-B, ESQUINA-A</t>
  </si>
  <si>
    <t>SUTULLENA</t>
  </si>
  <si>
    <t>CAMINO HONDO, RONDA SUR, 1</t>
  </si>
  <si>
    <t>PABLO RADA COMBUSTIBLES</t>
  </si>
  <si>
    <t>AVENIDA DE ANDALUCIA, S/N</t>
  </si>
  <si>
    <t>ALTO NALON</t>
  </si>
  <si>
    <t>LIBERTAD, 46 - P.I. EL SUTU, S/N</t>
  </si>
  <si>
    <t>POLA DE LAVIANA</t>
  </si>
  <si>
    <t>LA CANAL</t>
  </si>
  <si>
    <t>VILLAMARCHANTE</t>
  </si>
  <si>
    <t>APOLO XV</t>
  </si>
  <si>
    <t>LA CAMPANA</t>
  </si>
  <si>
    <t>LA TORRASSA</t>
  </si>
  <si>
    <t>ESPOT</t>
  </si>
  <si>
    <t>JAIMAPARK</t>
  </si>
  <si>
    <t>GUARROMAN</t>
  </si>
  <si>
    <t>SANCHINARRO</t>
  </si>
  <si>
    <t>AVDA. MARIA DE PORTUGAL, 15 FRENTE A EL CORTE INGLES</t>
  </si>
  <si>
    <t>RIVAS</t>
  </si>
  <si>
    <t>AVDA. AURELIO ALVAREZ, S/N</t>
  </si>
  <si>
    <t>RIVAS-VACIAMADRID</t>
  </si>
  <si>
    <t>LA GOTETA II</t>
  </si>
  <si>
    <t>INFANTA, 31 ESQUINA AUSIAS MARCH, 22</t>
  </si>
  <si>
    <t>EL CAMPELLO</t>
  </si>
  <si>
    <t>CRESMAR</t>
  </si>
  <si>
    <t>HELGUERA DE REOCIN</t>
  </si>
  <si>
    <t>BERNARDA</t>
  </si>
  <si>
    <t>AVDA. CONSTITUCION, 225</t>
  </si>
  <si>
    <t>FUNDACION AIDA</t>
  </si>
  <si>
    <t>AVDA. ISLAS BALEARES, S/N</t>
  </si>
  <si>
    <t>E.S. DEL CARMEN</t>
  </si>
  <si>
    <t>AVDA. ZARAGOZA, 20-22</t>
  </si>
  <si>
    <t>RUA DO AMIO, PARCELA 32 - POLIGONO INDUSTRIAL COSTA VELLA</t>
  </si>
  <si>
    <t>TEIS</t>
  </si>
  <si>
    <t>TRAVESIA DE VIGO, 242</t>
  </si>
  <si>
    <t>ALCALA DE CHIVERT</t>
  </si>
  <si>
    <t>NAUT ARAN</t>
  </si>
  <si>
    <t>ARTIES</t>
  </si>
  <si>
    <t>EL REAL</t>
  </si>
  <si>
    <t>ANTAS</t>
  </si>
  <si>
    <t>EL PELAO</t>
  </si>
  <si>
    <t>FIERROIL</t>
  </si>
  <si>
    <t>VENTORRILLO</t>
  </si>
  <si>
    <t>PUERTO FORNELLS</t>
  </si>
  <si>
    <t>PUERTO DEPORTIVO DE FORNELLS</t>
  </si>
  <si>
    <t>FORNELLS</t>
  </si>
  <si>
    <t>NOREÑA</t>
  </si>
  <si>
    <t>AVDA. DE OVIEDO, 11 - POLIGONO DE LA BARREDA</t>
  </si>
  <si>
    <t>LLANOS DE EXTREMADURA</t>
  </si>
  <si>
    <t>ALMENDRALEJO</t>
  </si>
  <si>
    <t>AREA DE SERVICIO HARLEY DAVIDSON</t>
  </si>
  <si>
    <t>VILLADANGOS</t>
  </si>
  <si>
    <t>VILLADANGOS DEL PARAMO</t>
  </si>
  <si>
    <t>LA HACIENDA</t>
  </si>
  <si>
    <t>MUELLE VIEJO, S/N</t>
  </si>
  <si>
    <t>LA MAYA</t>
  </si>
  <si>
    <t>MONTEJO DE SALVATIERRA</t>
  </si>
  <si>
    <t>ETXEGARATE</t>
  </si>
  <si>
    <t>IDIAZABAL</t>
  </si>
  <si>
    <t>UNIDAD S.S. DE LOS REYES</t>
  </si>
  <si>
    <t>EL CANTO</t>
  </si>
  <si>
    <t>TORQUEMADA</t>
  </si>
  <si>
    <t>PARKING-VALLS</t>
  </si>
  <si>
    <t>BLANQUERS, S/N - P.I. VALLS</t>
  </si>
  <si>
    <t>VALLS</t>
  </si>
  <si>
    <t>AXARQUIA</t>
  </si>
  <si>
    <t>FRIGILIANA</t>
  </si>
  <si>
    <t>AREA CAMBRILS COOPERATIVA</t>
  </si>
  <si>
    <t>CAMBRILS</t>
  </si>
  <si>
    <t>AREASUR</t>
  </si>
  <si>
    <t>ADRA</t>
  </si>
  <si>
    <t>EL CASAR DE TALAMANCA</t>
  </si>
  <si>
    <t>SAN MATEO</t>
  </si>
  <si>
    <t>BURGO DE OSMA</t>
  </si>
  <si>
    <t>BARRENOLA</t>
  </si>
  <si>
    <t>M-608, P.KM 36,6 ESQUINA A CALLE LAGO MAYOR</t>
  </si>
  <si>
    <t>ESTACION DE AUTOBUSES SANTA POLA</t>
  </si>
  <si>
    <t>CTRA. DE ELCHE A SANTAPOLA (ESQUINA C/ LEVANTE, 2 )</t>
  </si>
  <si>
    <t>CAMINO DE LOS TARANJALES</t>
  </si>
  <si>
    <t>POLIGONO INDUSTRIAL EL TOMILLAR,PARCELA, 77</t>
  </si>
  <si>
    <t>ALMONTE</t>
  </si>
  <si>
    <t>EL BERROCAL</t>
  </si>
  <si>
    <t>BENAMEJI</t>
  </si>
  <si>
    <t>ALGORA</t>
  </si>
  <si>
    <t>VALLECAS-VILLAVERDE 365</t>
  </si>
  <si>
    <t>CTRA. VALLECAS-VILLAVERDE, PK 1.8</t>
  </si>
  <si>
    <t>LA MORENA</t>
  </si>
  <si>
    <t>COMPLEJO LEO</t>
  </si>
  <si>
    <t>MONESTERIO</t>
  </si>
  <si>
    <t>TANOS</t>
  </si>
  <si>
    <t>AURELIO GARCIA CANTALAPIEDRA, S/N</t>
  </si>
  <si>
    <t>VILAMARINA</t>
  </si>
  <si>
    <t>CTRA. DE LA VILA, PK 33.0</t>
  </si>
  <si>
    <t>VILADECANS</t>
  </si>
  <si>
    <t>PARQUE EMPRESARIAL CAMPOLLANO, AVDA. ADECA, 55</t>
  </si>
  <si>
    <t>POLIGON INDUSTRIAL I- CALLE E, 12</t>
  </si>
  <si>
    <t>AREA DE SERVICIO MACHACON</t>
  </si>
  <si>
    <t>MACHACON</t>
  </si>
  <si>
    <t>POLÍGONO INDUSTRIAL 2 - PARCELA II-42</t>
  </si>
  <si>
    <t>AGUILAR DE CAMPOO</t>
  </si>
  <si>
    <t>COSTA ANDARAX</t>
  </si>
  <si>
    <t>PARQUE COMERCIAL LOS NARANJOS. SECTOR SL-4, PARCELA 3</t>
  </si>
  <si>
    <t>HUERCAL DE ALMERIA</t>
  </si>
  <si>
    <t>FUENTE EL SAZ</t>
  </si>
  <si>
    <t>CAMINO DE VALDETORRES</t>
  </si>
  <si>
    <t>FUENTE EL SAZ DE JARAMA</t>
  </si>
  <si>
    <t>GUIBE RIVAS</t>
  </si>
  <si>
    <t>DE LA FUNDICION, 53</t>
  </si>
  <si>
    <t>OILMANCHA PARADOR</t>
  </si>
  <si>
    <t>POLIG. Nº 71, PARCELA Nº 678</t>
  </si>
  <si>
    <t>SAN PELAYO</t>
  </si>
  <si>
    <t>PO-510 , KM 10</t>
  </si>
  <si>
    <t>CURRO VARGAS III</t>
  </si>
  <si>
    <t>GR-14 PAGO DE LAS JAREAS KM 0</t>
  </si>
  <si>
    <t>EL PASEO</t>
  </si>
  <si>
    <t>PASEO DELA CUBA 36</t>
  </si>
  <si>
    <t>JUBERA</t>
  </si>
  <si>
    <t>VILLAMEDIANA DE IREGUA</t>
  </si>
  <si>
    <t>NUEVA CALONGE</t>
  </si>
  <si>
    <t>CALLE METALURGIA, 2</t>
  </si>
  <si>
    <t>EL ALOE</t>
  </si>
  <si>
    <t>VERA</t>
  </si>
  <si>
    <t>PACHON 3</t>
  </si>
  <si>
    <t>AVDA. DE LA TORRECILLA, 41</t>
  </si>
  <si>
    <t>REVILLA S-30</t>
  </si>
  <si>
    <t>REVILLA DE CAMARGO</t>
  </si>
  <si>
    <t>RÍO OURO</t>
  </si>
  <si>
    <t>CTRA. LU-160, P.K. 18,500</t>
  </si>
  <si>
    <t>ALFOZ</t>
  </si>
  <si>
    <t>E.S. ICARIA</t>
  </si>
  <si>
    <t>C/ZEUS S/N</t>
  </si>
  <si>
    <t>CARLOS V</t>
  </si>
  <si>
    <t>MARGACRUZ</t>
  </si>
  <si>
    <t>SANTO TOME</t>
  </si>
  <si>
    <t>LA NAVA</t>
  </si>
  <si>
    <t>SONSOLES</t>
  </si>
  <si>
    <t>TITANIC</t>
  </si>
  <si>
    <t>LORENZO PARDO E HIJOS</t>
  </si>
  <si>
    <t>FERVISAN</t>
  </si>
  <si>
    <t>PUERTO DEL SON</t>
  </si>
  <si>
    <t>LA BARCA</t>
  </si>
  <si>
    <t>SAN SEBASTIAN, 2</t>
  </si>
  <si>
    <t>MANOTERAS</t>
  </si>
  <si>
    <t>AVDA. MANOTERAS, 34</t>
  </si>
  <si>
    <t>ALI</t>
  </si>
  <si>
    <t>LOS CANAPES</t>
  </si>
  <si>
    <t>TRAVESIA LOS CANAPES, 2</t>
  </si>
  <si>
    <t>ESTADIO</t>
  </si>
  <si>
    <t>CARCHUNA</t>
  </si>
  <si>
    <t>LA MANCHICA</t>
  </si>
  <si>
    <t>LA MERCA</t>
  </si>
  <si>
    <t>CERDEIRA</t>
  </si>
  <si>
    <t>AVDA. AJALVIR-VICALVARO, 147 (CTRA. CANILLEJAS-VICALVARO, 147)</t>
  </si>
  <si>
    <t>GUILLEN</t>
  </si>
  <si>
    <t>OLEA</t>
  </si>
  <si>
    <t>ZAMUDIO</t>
  </si>
  <si>
    <t>ENTRESIERRAS</t>
  </si>
  <si>
    <t>MANZANARES EL REAL</t>
  </si>
  <si>
    <t>HUETOR-VEGA</t>
  </si>
  <si>
    <t>PIO XII</t>
  </si>
  <si>
    <t>SANCHO RAMIREZ, 2</t>
  </si>
  <si>
    <t>ESTACION DE AUTOBUSES DE ALBACETE</t>
  </si>
  <si>
    <t>FEDERICO GARCIA LORCA, 5</t>
  </si>
  <si>
    <t>FUENTE LA REINA I</t>
  </si>
  <si>
    <t>ALAMEDA DE CERVERA</t>
  </si>
  <si>
    <t>LAS TABLAS</t>
  </si>
  <si>
    <t>SORBAS</t>
  </si>
  <si>
    <t>SENA</t>
  </si>
  <si>
    <t>COLL DE NARGO</t>
  </si>
  <si>
    <t>USAGRE</t>
  </si>
  <si>
    <t>PORT DE LA SELVA</t>
  </si>
  <si>
    <t>PUERTO DE LA SELVA</t>
  </si>
  <si>
    <t>TEBA</t>
  </si>
  <si>
    <t>AGRAMUNT</t>
  </si>
  <si>
    <t>BIOTA</t>
  </si>
  <si>
    <t>C-127, 1</t>
  </si>
  <si>
    <t>SANT QUIRZE SAFAJA</t>
  </si>
  <si>
    <t>EFESO</t>
  </si>
  <si>
    <t>EFESO, S/N ESQ. TARSO, S/N</t>
  </si>
  <si>
    <t>MORENO MUÑOZ II</t>
  </si>
  <si>
    <t>LA CALETA</t>
  </si>
  <si>
    <t>GARACHICO</t>
  </si>
  <si>
    <t>LA PALMESA</t>
  </si>
  <si>
    <t>COSTA SILENCIO</t>
  </si>
  <si>
    <t>COSTA DEL SILENCIO</t>
  </si>
  <si>
    <t>LA ANTIGUA</t>
  </si>
  <si>
    <t>ANTIGUA</t>
  </si>
  <si>
    <t>LOMO GUILLEN, 16</t>
  </si>
  <si>
    <t>SANTA MARIA DE GUIA DE GRAN CANARIA</t>
  </si>
  <si>
    <t>URBANIZACION DIAZ CASANOVA, 1-2 - LAS TORRES</t>
  </si>
  <si>
    <t>LOS TAXISTAS SAN AGUSTIN</t>
  </si>
  <si>
    <t>TEROR</t>
  </si>
  <si>
    <t>VALSEQUILLO</t>
  </si>
  <si>
    <t>VALSEQUILLO DE GRAN CANARIA</t>
  </si>
  <si>
    <t>TINAJO</t>
  </si>
  <si>
    <t>VALLE SAN LORENZO</t>
  </si>
  <si>
    <t>CHIO</t>
  </si>
  <si>
    <t>GRANADILLA</t>
  </si>
  <si>
    <t>PALO BLANCO</t>
  </si>
  <si>
    <t>GASUR BUENOS AIRES</t>
  </si>
  <si>
    <t>FILIPINAS, 9</t>
  </si>
  <si>
    <t>LLANO AZUL</t>
  </si>
  <si>
    <t>CTRA. GENERAL GUAZA-LOS CRISTIANOS, PK 1.0</t>
  </si>
  <si>
    <t>EL GORO</t>
  </si>
  <si>
    <t>KILOMETRO CERO</t>
  </si>
  <si>
    <t>HIEDRA, 3 - IRIS, 20 - P.I. ARINAGA III</t>
  </si>
  <si>
    <t>AGUA GARCIA</t>
  </si>
  <si>
    <t>EL MIRADOR</t>
  </si>
  <si>
    <t>LOS ANDENES</t>
  </si>
  <si>
    <t>AVDA. LOS MAJUELOS, MANZANA LL-92</t>
  </si>
  <si>
    <t>LA LAGUNA</t>
  </si>
  <si>
    <t>MERCATENERIFE</t>
  </si>
  <si>
    <t>ACCESO A MERCATENERIFE, S/N-POLIGONO EL MAYORAZGO</t>
  </si>
  <si>
    <t>TEGUISE</t>
  </si>
  <si>
    <t>SANTO DOMINGO, 11 - CTRA. TEGUISE-MOZAGA, PK 1.0</t>
  </si>
  <si>
    <t>LOS PORTALES</t>
  </si>
  <si>
    <t>EL CUBILLO</t>
  </si>
  <si>
    <t>CUBILLO, 1</t>
  </si>
  <si>
    <t>LOS MORROS</t>
  </si>
  <si>
    <t>CTRA. ARRECIFE-HARIA, PK 9.3</t>
  </si>
  <si>
    <t>LA ESMERALDA</t>
  </si>
  <si>
    <t>GUATIZA</t>
  </si>
  <si>
    <t>PUERTO DEL CARMEN</t>
  </si>
  <si>
    <t>AVDA. DEL VARADERO, S/N</t>
  </si>
  <si>
    <t>TIAS</t>
  </si>
  <si>
    <t>ZONA DE SERVICIO DEL PUERTO DE MELILLA, S/N</t>
  </si>
  <si>
    <t>AUDITORIA DE EFICIENCIA ENERGETICA</t>
  </si>
  <si>
    <t>COORDINACION SEGURIDAD Y SALUD. COMPLEJO</t>
  </si>
  <si>
    <t>COORDINACION SEGURIDAD Y SALUD. MEDIO</t>
  </si>
  <si>
    <t>COORDINACION SEGURIDAD Y SALUD. SENCILLO</t>
  </si>
  <si>
    <t>DIRECCION FACULTATIVA. COMPLEJO</t>
  </si>
  <si>
    <t>DIRECCION FACULTATIVA. MEDIO</t>
  </si>
  <si>
    <t>DIRECCION FACULTATIVA. SENCILLO</t>
  </si>
  <si>
    <t>COSTE DETALLADO EJECUCION (+15/-10) COMP</t>
  </si>
  <si>
    <t>COSTE DETALLADO EJECUCION (+15/-10) MEDI</t>
  </si>
  <si>
    <t>ESTUDIO ACUSTICO AMBIENTAL</t>
  </si>
  <si>
    <t>ESTUDIO DE DELIMITACION DE PARCELA</t>
  </si>
  <si>
    <t>ESTUDIO EXPROPIACION/AFECCION DE PARCELA</t>
  </si>
  <si>
    <t>ESTUDIO DE GEORADAR</t>
  </si>
  <si>
    <t>ESTUDIO DE IMPACTO AMBIENTAL</t>
  </si>
  <si>
    <t>ESTUDIO PATOLOGIA EDIFICIO/MARQUESINA</t>
  </si>
  <si>
    <t>ESTUDIO GEOTECNICO</t>
  </si>
  <si>
    <t>ESTUDIO OBTENCION CERTIF. COMP URBANIST</t>
  </si>
  <si>
    <t>GESTION DE SUMINISTROS. 1 UNIDAD</t>
  </si>
  <si>
    <t>GESTION DE SUMINISTROS. 2 UNIDAD</t>
  </si>
  <si>
    <t>GESTION DE SUMINISTROS. 3 UNIDAD</t>
  </si>
  <si>
    <t>GESTION DE SUMINISTROS. 4 UNIDAD</t>
  </si>
  <si>
    <t>INGENIERIA DE DETALLE. COMPLEJO</t>
  </si>
  <si>
    <t>INGENIERIA DE DETALLE. MEDIO</t>
  </si>
  <si>
    <t>INGENIERIA DE DETALLE. SENCILLO</t>
  </si>
  <si>
    <t>INSPECCION TECNICA DE EDIFICIOS (I.T.E.)</t>
  </si>
  <si>
    <t>PROYECTO OFICIAL. COMPLEJO</t>
  </si>
  <si>
    <t>PROYECTO OFICIAL. MEDIO</t>
  </si>
  <si>
    <t>PROYECTO OFICIAL. SENCILLO</t>
  </si>
  <si>
    <t>SERVICIO ACTIVACION VENDEDORES</t>
  </si>
  <si>
    <t>SERVICIO DE DELINEACION</t>
  </si>
  <si>
    <t>SERVICIO DIRECCION DE PROYECTO</t>
  </si>
  <si>
    <t>SERVICIO ESTUDIOS</t>
  </si>
  <si>
    <t>SERVICIO INGENIERIA DE CONTROL DE COSTE</t>
  </si>
  <si>
    <t>SERVICIO INGENIERIA DE PLANIFICACION</t>
  </si>
  <si>
    <t>SERVICIO INGENIERIA DETALLE</t>
  </si>
  <si>
    <t>SERVICIO INGENIERIA ELECTR/INSTRUMENT</t>
  </si>
  <si>
    <t>SERVICIO INGENIERIA ESTIMACION DE COSTES</t>
  </si>
  <si>
    <t>SERVICIO INGENIERIA MECANICA</t>
  </si>
  <si>
    <t>SERVICIO INGENIERIA OBRA CIVIL</t>
  </si>
  <si>
    <t>SERVICIO LEVANTAMIENTO DE PLANOS</t>
  </si>
  <si>
    <t>TOMA DATOS ESTADO DOCUMENTAL INSTALACION</t>
  </si>
  <si>
    <t>TOMA DATOS ESTADO GENERAL INSTALACION</t>
  </si>
  <si>
    <t>TOMA DE DATOS SIMPLE</t>
  </si>
  <si>
    <t>SUPERVISION DE SEGURIDAD Y SALUD. DIA</t>
  </si>
  <si>
    <t>SUPERVISION DE SEGURIDAD Y SALUD. SEMANA</t>
  </si>
  <si>
    <t>SUPERVISION DE SEGURIDAD Y SALUD. MES</t>
  </si>
  <si>
    <t>ESTUDIO URBANISTICO</t>
  </si>
  <si>
    <t>COD. POSTAL</t>
  </si>
  <si>
    <t>POBLACION</t>
  </si>
  <si>
    <t>Barcelona</t>
  </si>
  <si>
    <t>Madrid</t>
  </si>
  <si>
    <t>Zaragoza</t>
  </si>
  <si>
    <t>Sevilla</t>
  </si>
  <si>
    <t>Caceres</t>
  </si>
  <si>
    <t>Murcia</t>
  </si>
  <si>
    <t>Cantabria</t>
  </si>
  <si>
    <t>Huelva</t>
  </si>
  <si>
    <t>Tarragona</t>
  </si>
  <si>
    <t>Guadalajara</t>
  </si>
  <si>
    <t>ESASA</t>
  </si>
  <si>
    <t>LISBOA</t>
  </si>
  <si>
    <t>CTRA. N-204 KM 47,5</t>
  </si>
  <si>
    <t>Pontevedra</t>
  </si>
  <si>
    <t>AVDA. DE ANDALUCIA Nº 7</t>
  </si>
  <si>
    <t>RAFAL NOU</t>
  </si>
  <si>
    <t>Palencia</t>
  </si>
  <si>
    <t>PALAFOLLS</t>
  </si>
  <si>
    <t>BERIAIN I</t>
  </si>
  <si>
    <t>BERIAIN</t>
  </si>
  <si>
    <t>BERIAIN II</t>
  </si>
  <si>
    <t>VALDEBERNARDO I</t>
  </si>
  <si>
    <t>VALDEBERNARDO II</t>
  </si>
  <si>
    <t>BARROS</t>
  </si>
  <si>
    <t>CORDOVILLA</t>
  </si>
  <si>
    <t>HERENCIA</t>
  </si>
  <si>
    <t>ARAIA</t>
  </si>
  <si>
    <t>LA MARQUESA</t>
  </si>
  <si>
    <t>LA VEGA</t>
  </si>
  <si>
    <t>VILAMALLA</t>
  </si>
  <si>
    <t>P.I. EMPORDA - CALLE A, PARCELA 10</t>
  </si>
  <si>
    <t>MUÑOGRANDE</t>
  </si>
  <si>
    <t>ASTILLEROS</t>
  </si>
  <si>
    <t>LA OLA</t>
  </si>
  <si>
    <t>FOZ</t>
  </si>
  <si>
    <t>VILLARCE</t>
  </si>
  <si>
    <t>OZAGAS BETANZOS</t>
  </si>
  <si>
    <t>BETANZOS</t>
  </si>
  <si>
    <t>LA FRANCA</t>
  </si>
  <si>
    <t>SAN JUAN DE LOS TERREROS</t>
  </si>
  <si>
    <t>CRUZ DE ILLAS</t>
  </si>
  <si>
    <t>VILABOA AEROPUERTO</t>
  </si>
  <si>
    <t>LAGOH</t>
  </si>
  <si>
    <t>LA SERNA</t>
  </si>
  <si>
    <t>SANTA MARTA DE TORMES</t>
  </si>
  <si>
    <t>MEDOL SUR</t>
  </si>
  <si>
    <t>MEDOL NORTE</t>
  </si>
  <si>
    <t>IMARCOAIN I</t>
  </si>
  <si>
    <t>IMARCOAIN</t>
  </si>
  <si>
    <t>IMARCOAIN II</t>
  </si>
  <si>
    <t>CTRA. COMARCAL-243, KM. 5</t>
  </si>
  <si>
    <t>ALCÁZAR DE SAN JUAN</t>
  </si>
  <si>
    <t>AVDA. NUESTRA SEÑORA DE FATIMA, 22</t>
  </si>
  <si>
    <t>ANAGA</t>
  </si>
  <si>
    <t>LOS NARANJEROS</t>
  </si>
  <si>
    <t>EL VOLCAN</t>
  </si>
  <si>
    <t>ARAFO</t>
  </si>
  <si>
    <t>ES MOLINA</t>
  </si>
  <si>
    <t>CALDAS DE LUNA</t>
  </si>
  <si>
    <t>BARRIADA LA PLATA</t>
  </si>
  <si>
    <t>ARROYO DE LA ENCOMIENDA</t>
  </si>
  <si>
    <t>SANT JAUME DE LLIERCA</t>
  </si>
  <si>
    <t>POLIGAS</t>
  </si>
  <si>
    <t>AREA 62 MATAS BLANCAS</t>
  </si>
  <si>
    <t>HIGUERA LA REAL</t>
  </si>
  <si>
    <t>VILLAMURIEL DE CERRATO</t>
  </si>
  <si>
    <t>EK22 P.P. ISLA CRISTINA</t>
  </si>
  <si>
    <t>ISLA CRISTINA</t>
  </si>
  <si>
    <t>EK10 P.P. ALICANTE</t>
  </si>
  <si>
    <t>EK20 P.P. CÁDIZ</t>
  </si>
  <si>
    <t>EK03 P.P. EL PUERTO DE SANTA MARÍA</t>
  </si>
  <si>
    <t>EK08 P.P. DENIA</t>
  </si>
  <si>
    <t>DENIA</t>
  </si>
  <si>
    <t>EK30 P.P. MOTRIL</t>
  </si>
  <si>
    <t>EK17 P.P. ESTEPONA</t>
  </si>
  <si>
    <t>EK21 P.P. SANLÚCAR DE BARRAMEDA</t>
  </si>
  <si>
    <t>SANLUCAR DE BARRAMEDA</t>
  </si>
  <si>
    <t>EK13 P.P. ADRA</t>
  </si>
  <si>
    <t>EK09 P.P. JÁVEA</t>
  </si>
  <si>
    <t>EK12 P.P. CULLERA</t>
  </si>
  <si>
    <t>CULLERA</t>
  </si>
  <si>
    <t>EK14 P.P. ROQUETAS DE MAR</t>
  </si>
  <si>
    <t>EK16 P.P. HUELVA</t>
  </si>
  <si>
    <t>EK11 P.P. SAGUNTO</t>
  </si>
  <si>
    <t>EK18 P.P. MARBELLA</t>
  </si>
  <si>
    <t>EK05 P.P. BERBES</t>
  </si>
  <si>
    <t>EK02 P.P. VINAROZ</t>
  </si>
  <si>
    <t>EK07 P.P. MARÍN</t>
  </si>
  <si>
    <t>MARIN</t>
  </si>
  <si>
    <t>EK15 P.P. AYAMONTE</t>
  </si>
  <si>
    <t>MUELLE PESQUERO NORTE</t>
  </si>
  <si>
    <t>EK25 P.P. TARIFA</t>
  </si>
  <si>
    <t>EK33 P.P. TORREVIEJA</t>
  </si>
  <si>
    <t>EK29 P.P. MÁLAGA</t>
  </si>
  <si>
    <t>EK35 P.P.CALPE</t>
  </si>
  <si>
    <t>CALPE</t>
  </si>
  <si>
    <t>MUELLE PESQUERO, S/N</t>
  </si>
  <si>
    <t>EK23 P.P. PUNTA UMBRIA</t>
  </si>
  <si>
    <t>EK27 P.P. LA ATUNARA</t>
  </si>
  <si>
    <t>EK32 P.P. SAN PEDRO DEL PINATAR</t>
  </si>
  <si>
    <t>EK36 P.P. MORAIRA</t>
  </si>
  <si>
    <t>EK26 P.P. ALGECIRAS</t>
  </si>
  <si>
    <t>EK34 P.P. SANTA POLA</t>
  </si>
  <si>
    <t>EK04 P.P. GIJON</t>
  </si>
  <si>
    <t>MUELLE DEL RENDIELLO-EDIFICIO LONJA PESCADO</t>
  </si>
  <si>
    <t>FUENTE PALMERA</t>
  </si>
  <si>
    <t>N-240-A PK 35,6</t>
  </si>
  <si>
    <t>A CORUÑA</t>
  </si>
  <si>
    <t>A-52 PK 188</t>
  </si>
  <si>
    <t>BA-901 PK 12</t>
  </si>
  <si>
    <t>NTRA SRA DE LA LUZ</t>
  </si>
  <si>
    <t>ALBAL</t>
  </si>
  <si>
    <t>AVDA. PADRE CARLOS FERRIS, 109</t>
  </si>
  <si>
    <t>MARQUES DE PARADAS</t>
  </si>
  <si>
    <t>N-122 PK: 278,2</t>
  </si>
  <si>
    <t>A-334 PK 86,9</t>
  </si>
  <si>
    <t>CACERES-CASAR DE CACERES, P.K. 8,300</t>
  </si>
  <si>
    <t>N-324 PK 319,5</t>
  </si>
  <si>
    <t>N-340A PK 444</t>
  </si>
  <si>
    <t>A-92a, km338.6</t>
  </si>
  <si>
    <t>LA AZADILLA</t>
  </si>
  <si>
    <t>ARICO</t>
  </si>
  <si>
    <t>EL ROSARIO</t>
  </si>
  <si>
    <t>TAHICHE I</t>
  </si>
  <si>
    <t>TAHICHE II</t>
  </si>
  <si>
    <t>LA CISNERA</t>
  </si>
  <si>
    <t>AGAETE</t>
  </si>
  <si>
    <t>CC-204 PK: 23,9</t>
  </si>
  <si>
    <t>N-401 PK: 103,9</t>
  </si>
  <si>
    <t>A-358 PK: 16</t>
  </si>
  <si>
    <t>N-VI PK: 267,8</t>
  </si>
  <si>
    <t>N-III PK: 167,5</t>
  </si>
  <si>
    <t>EK40 P.P. CASTELLON</t>
  </si>
  <si>
    <t>MUELLE LEVANTE-DARSENA PESQUERA</t>
  </si>
  <si>
    <t>NO CONSTA</t>
  </si>
  <si>
    <t>MIRALLAC</t>
  </si>
  <si>
    <t>OLVAN</t>
  </si>
  <si>
    <t>OLBAN</t>
  </si>
  <si>
    <t>LA GALBANA</t>
  </si>
  <si>
    <t>NOMBELA</t>
  </si>
  <si>
    <t>CTRA. ESCALONA-NOMBELA, PK 8.2</t>
  </si>
  <si>
    <t>SOBRADELO DE VALDEORRAS</t>
  </si>
  <si>
    <t>VILLALBA</t>
  </si>
  <si>
    <t>RUTA DEL TORO</t>
  </si>
  <si>
    <t>AITONA</t>
  </si>
  <si>
    <t>EL REGUERON</t>
  </si>
  <si>
    <t>AVDA. DEL PROGRESO, 219 (CTRA. MURCIA-ALGAZARES, PK 3.2)</t>
  </si>
  <si>
    <t>VILLANUEVA DE LA REINA</t>
  </si>
  <si>
    <t>OLITE</t>
  </si>
  <si>
    <t>VILLAFRANCA DEL BIERZO</t>
  </si>
  <si>
    <t>CHESTE</t>
  </si>
  <si>
    <t>POLIGONO INDUSTRIAL DE CASTILLA, MANZANA A</t>
  </si>
  <si>
    <t>QUINTANILLA</t>
  </si>
  <si>
    <t>QUINTANILLA-SOBRESIERRA</t>
  </si>
  <si>
    <t>SANGIL</t>
  </si>
  <si>
    <t>LAGUNA DE DUERO</t>
  </si>
  <si>
    <t>FRIMAQUAN</t>
  </si>
  <si>
    <t>DOMINGUEZ RUIZ</t>
  </si>
  <si>
    <t>ZURGENA</t>
  </si>
  <si>
    <t>FONTANILLAS</t>
  </si>
  <si>
    <t>FONTANILLAS DE CASTRO</t>
  </si>
  <si>
    <t>PANAMA</t>
  </si>
  <si>
    <t>RIELVES</t>
  </si>
  <si>
    <t>CARCASTILLO</t>
  </si>
  <si>
    <t>VENTOSA DEL RIO ALMAR</t>
  </si>
  <si>
    <t>SALSADELLA</t>
  </si>
  <si>
    <t>EL SAUCEJO</t>
  </si>
  <si>
    <t>BAENA</t>
  </si>
  <si>
    <t>SIERRA DE YEGUAS</t>
  </si>
  <si>
    <t>ORDENES</t>
  </si>
  <si>
    <t>MARIA LUISA</t>
  </si>
  <si>
    <t>VILLAVIEJA DE YELTES</t>
  </si>
  <si>
    <t>AVDA. RIBAMAR, S/N - PASEO MARITIMO, PUERTO DEPORTIVO LAS FUENTES</t>
  </si>
  <si>
    <t>VALDILECHA</t>
  </si>
  <si>
    <t>N-111 MADRID-PAMPLONA POR MEDINACELI KM. 358,60</t>
  </si>
  <si>
    <t>LOS VIÑEDOS</t>
  </si>
  <si>
    <t>PETROVIESQUES</t>
  </si>
  <si>
    <t>LA GLORIETA</t>
  </si>
  <si>
    <t>LOS SANTOS DE MAIMONA</t>
  </si>
  <si>
    <t>CUESTA BLANCA</t>
  </si>
  <si>
    <t>GASOLINERA PENAGOS</t>
  </si>
  <si>
    <t>PENAGOS</t>
  </si>
  <si>
    <t>LAGUNA E HIJOS</t>
  </si>
  <si>
    <t>CARBURANTES PREMIUM</t>
  </si>
  <si>
    <t>NUEVA FRAGA</t>
  </si>
  <si>
    <t>CERQUEDA</t>
  </si>
  <si>
    <t>PATARELO</t>
  </si>
  <si>
    <t>OZA-CESURAS</t>
  </si>
  <si>
    <t>REINO DE LEON</t>
  </si>
  <si>
    <t>CAMPONARAYA</t>
  </si>
  <si>
    <t>MEJORADA DEL CAMPO</t>
  </si>
  <si>
    <t>PORTUGAL 3, NAVE 30</t>
  </si>
  <si>
    <t>CIUDAD DEL AUTOMOVIL II</t>
  </si>
  <si>
    <t>FUENTE-ALAMO II</t>
  </si>
  <si>
    <t>HIDIFER COMUNIDAD EUROPEA</t>
  </si>
  <si>
    <t>AVENIDA DE LA COMUNIDAD EUROPEA, 16</t>
  </si>
  <si>
    <t>VILLAMAYOR GRUPO PRIETO</t>
  </si>
  <si>
    <t>CRUCE DE CALLES</t>
  </si>
  <si>
    <t>CALLE VALENCIA, 106-108</t>
  </si>
  <si>
    <t>VILLANUEVA DE GÁLLEGO</t>
  </si>
  <si>
    <t>POLIGONO INDUSTRIAL 28 - PARCELA 49</t>
  </si>
  <si>
    <t>VILLANUEVA DE GALLEGO</t>
  </si>
  <si>
    <t>CUARTE (VER ESTA E.S. COMO GESTORES)</t>
  </si>
  <si>
    <t>ANTELA</t>
  </si>
  <si>
    <t>LG PISTA ENLACE RÍAS BAIXAS</t>
  </si>
  <si>
    <t>XINZO DE LIMA</t>
  </si>
  <si>
    <t>LISANGOA (MD) (BAJA EN RED CEPSA)</t>
  </si>
  <si>
    <t>EL EGIDO</t>
  </si>
  <si>
    <t>LISANGOA (MI) (BAJA EN RED CEPSA)</t>
  </si>
  <si>
    <t>SAN FERNANDO DE HENARES</t>
  </si>
  <si>
    <t>AVENIDA DE CASTILLA, 4</t>
  </si>
  <si>
    <t>LA ARROYADA</t>
  </si>
  <si>
    <t>ALCAZAREN</t>
  </si>
  <si>
    <t>SIONLLA</t>
  </si>
  <si>
    <t>RUA PAIS VASCO, 65</t>
  </si>
  <si>
    <t>CALERUEGA</t>
  </si>
  <si>
    <t>CTRA. BU-910,  PK. 24</t>
  </si>
  <si>
    <t>LA ERMITA</t>
  </si>
  <si>
    <t>CTRA. TOLEDO-CUESTA DE LA REINA, L-15, PK. 28,776</t>
  </si>
  <si>
    <t>VILLASECA DE LA SAGRA</t>
  </si>
  <si>
    <t>MONTAMARTA</t>
  </si>
  <si>
    <t>CTRA. N-630, PK. 261,200</t>
  </si>
  <si>
    <t>MUTILVA I</t>
  </si>
  <si>
    <t>PA-30, Pk. 5,2 (DIRECCION- ZARAGOZA)</t>
  </si>
  <si>
    <t>MUTILVA ALTA</t>
  </si>
  <si>
    <t>MUTILVA II</t>
  </si>
  <si>
    <t>PA-30, PK. 5,2 (DIRECCION-FRANCIA)</t>
  </si>
  <si>
    <t xml:space="preserve">CIFUENTES </t>
  </si>
  <si>
    <t>LOS ROBLES</t>
  </si>
  <si>
    <t xml:space="preserve">AVDA REAL DE PINTO, 106 </t>
  </si>
  <si>
    <t>EL BARRERO</t>
  </si>
  <si>
    <t>C/ ARTESANOS, 27</t>
  </si>
  <si>
    <t>ÉCIJA</t>
  </si>
  <si>
    <t>CEHEGINGAS</t>
  </si>
  <si>
    <t>CTRA. DE MURCIA, 146</t>
  </si>
  <si>
    <t xml:space="preserve">CEHEGIN   </t>
  </si>
  <si>
    <t>NUEVA MONTAÑA</t>
  </si>
  <si>
    <t>AVENIDA DE NUEVA MONTAÑA, nº 2. F</t>
  </si>
  <si>
    <t>GRUPO BARAMBIO BEZANA</t>
  </si>
  <si>
    <t xml:space="preserve">AVDA. DE LOS CONDES, S/N </t>
  </si>
  <si>
    <t>SANTA CRUZ DE BEZAMA</t>
  </si>
  <si>
    <t>PONTEBRANCA</t>
  </si>
  <si>
    <t>LU-612 (DE LUGO A PORTOMARIN), PK. 2,32 – RU CIMA DE VILA , 21</t>
  </si>
  <si>
    <t>CASTAÑEDA</t>
  </si>
  <si>
    <t>A-8, PK. 218,750</t>
  </si>
  <si>
    <t>E.S ALCOLEA</t>
  </si>
  <si>
    <t>AVDA. DE LA BARCA, 18</t>
  </si>
  <si>
    <t>ALCOLEA DEL RIO</t>
  </si>
  <si>
    <t xml:space="preserve">EL MIRADOR </t>
  </si>
  <si>
    <t>AVDA. DE LA CONSTITUCION, 68</t>
  </si>
  <si>
    <t>VILLANUEVA DEL RIO Y MINAS</t>
  </si>
  <si>
    <t>PARRILLA</t>
  </si>
  <si>
    <t>AVDA. INGENIERIA, 13-17</t>
  </si>
  <si>
    <t>PUENTE MADRID</t>
  </si>
  <si>
    <t>CTRA. COMARCAL 607, PK. 48,200</t>
  </si>
  <si>
    <t>SAN FERNANDO III</t>
  </si>
  <si>
    <t>C/ CERRAJEROS, 2 (PARCELA M-6 DEL SUP I-1)</t>
  </si>
  <si>
    <t>AVENIDA DE CERVERA, 81</t>
  </si>
  <si>
    <t>CABOTEJA</t>
  </si>
  <si>
    <t>FINCA EL SOLARON S/N-CASTANEDO</t>
  </si>
  <si>
    <t>RIBAMONTAN AL MAR</t>
  </si>
  <si>
    <t>VILANOVIÑA</t>
  </si>
  <si>
    <t>CTR. PO 531, PK. 16</t>
  </si>
  <si>
    <t>MEIS</t>
  </si>
  <si>
    <t>VILLAMURIEL I</t>
  </si>
  <si>
    <t>A610, KM 5500</t>
  </si>
  <si>
    <t>SANTA OLIVA</t>
  </si>
  <si>
    <t>POLÍGON MOLÍ D'EN SERRA S/N</t>
  </si>
  <si>
    <t>LA CASAREÑA</t>
  </si>
  <si>
    <t>PUERTOLLANO</t>
  </si>
  <si>
    <t>CTRA DE ARGAMASILLA DE CALATRAVA, 50</t>
  </si>
  <si>
    <t>PUERTO LLANO</t>
  </si>
  <si>
    <t>ALJARAQUE</t>
  </si>
  <si>
    <t>C/ CERAMICA, 1 (PARQUE EMPRESARIAL LA RAYA)</t>
  </si>
  <si>
    <t>ESTIBADORES, 1</t>
  </si>
  <si>
    <t>AS NEVES</t>
  </si>
  <si>
    <t>RÚA DE REDONDELA, 1</t>
  </si>
  <si>
    <t>EL PALMERAL</t>
  </si>
  <si>
    <t>CR CARTAGENA LA PALMA  KM 7,600</t>
  </si>
  <si>
    <t>MONTEPIEDRA</t>
  </si>
  <si>
    <t>CTRA. DE CALATAYUD A NUEVALOS KM 25</t>
  </si>
  <si>
    <t>NUEVALOS</t>
  </si>
  <si>
    <t>Beatriz Llueca</t>
  </si>
  <si>
    <t>SI/NO</t>
  </si>
  <si>
    <t>165023</t>
  </si>
  <si>
    <t>181784</t>
  </si>
  <si>
    <t>TOMA DE DATOS COMPLEJA</t>
  </si>
  <si>
    <t>181785</t>
  </si>
  <si>
    <t>TOMA DE DATOS C. LTO. TOPOG. PEQUEÑA</t>
  </si>
  <si>
    <t>181786</t>
  </si>
  <si>
    <t>TOMA DE DATOS C. LTO. TOPOG. MEDIANA</t>
  </si>
  <si>
    <t>181787</t>
  </si>
  <si>
    <t>TOMA DE DATOS C. LTO. TOPOG. GRANDE</t>
  </si>
  <si>
    <t>165488</t>
  </si>
  <si>
    <t>CREACIÓN LAYOUT GENERAL</t>
  </si>
  <si>
    <t>165069</t>
  </si>
  <si>
    <t>165070</t>
  </si>
  <si>
    <t>165071</t>
  </si>
  <si>
    <t>165072</t>
  </si>
  <si>
    <t>181788</t>
  </si>
  <si>
    <t>ESTUDIO DE VISIBILIDAD DE MONOPOSTES</t>
  </si>
  <si>
    <t>181789</t>
  </si>
  <si>
    <t>ESTI. PRE. COSTE DE EJE.(+100%,-50%) S.</t>
  </si>
  <si>
    <t>181790</t>
  </si>
  <si>
    <t>ESTI. PRE. COSTE DE EJE.(+100%,-50%) M.</t>
  </si>
  <si>
    <t>181791</t>
  </si>
  <si>
    <t>ESTI. PRE. COSTE DE EJE.(+100%,-50%) C.</t>
  </si>
  <si>
    <t>181792</t>
  </si>
  <si>
    <t>ESTI. PRE. COSTE DE EJE.(+100%,-50%) NC</t>
  </si>
  <si>
    <t>181793</t>
  </si>
  <si>
    <t>ESTI. DTD COSTE DE EJE.(+15%,-10%) S.</t>
  </si>
  <si>
    <t>165039</t>
  </si>
  <si>
    <t>165040</t>
  </si>
  <si>
    <t>181794</t>
  </si>
  <si>
    <t>ESTI. DTD COSTE DE EJE.(+15%,-10%) NC</t>
  </si>
  <si>
    <t>181795</t>
  </si>
  <si>
    <t>INFORMES TECNICOS</t>
  </si>
  <si>
    <t>181796</t>
  </si>
  <si>
    <t>CONSULTA PREVIA A ORGANISMO FASE ESTI.</t>
  </si>
  <si>
    <t>181797</t>
  </si>
  <si>
    <t>INFORME ESTRUCTURAL</t>
  </si>
  <si>
    <t>165079</t>
  </si>
  <si>
    <t>165080</t>
  </si>
  <si>
    <t>165026</t>
  </si>
  <si>
    <t>165027</t>
  </si>
  <si>
    <t>165028</t>
  </si>
  <si>
    <t>181798</t>
  </si>
  <si>
    <t>PROYECTO OFICIAL NUEVA CONSTRUCCION</t>
  </si>
  <si>
    <t>181799</t>
  </si>
  <si>
    <t>GEST. PMT. ORG. SOLO AYTO DR</t>
  </si>
  <si>
    <t>181800</t>
  </si>
  <si>
    <t>GEST. PMT. ORG. SOLO AYTO LO O MITMA</t>
  </si>
  <si>
    <t>181801</t>
  </si>
  <si>
    <t>GEST. PMT. ORG AYTO+MITMA Y/U OTR. ORG.</t>
  </si>
  <si>
    <t>181802</t>
  </si>
  <si>
    <t>GEST. OBT. LIC. OBRA AYTO PJT S</t>
  </si>
  <si>
    <t>181803</t>
  </si>
  <si>
    <t>GEST. OBT. LIC. OBRA AYTO PJT M</t>
  </si>
  <si>
    <t>181804</t>
  </si>
  <si>
    <t>GEST. OBT. LIC. OBRA AYTO PJT C</t>
  </si>
  <si>
    <t>181805</t>
  </si>
  <si>
    <t>GEST. OBT. LIC. OBRA AYTO PJT NC</t>
  </si>
  <si>
    <t>181806</t>
  </si>
  <si>
    <t>GEST. OBT. LIC. MITMA PJT S/M</t>
  </si>
  <si>
    <t>181807</t>
  </si>
  <si>
    <t>GEST. AGIL. OBT. LIC. MITMA PJT C/NC</t>
  </si>
  <si>
    <t>181808</t>
  </si>
  <si>
    <t>GEST. AGIL. OBT. LIC. OTROS PJT S/M</t>
  </si>
  <si>
    <t>181809</t>
  </si>
  <si>
    <t>GEST. AGIL. OBT. LIC. OTROS PJT C/NC</t>
  </si>
  <si>
    <t>165030</t>
  </si>
  <si>
    <t>165031</t>
  </si>
  <si>
    <t>165032</t>
  </si>
  <si>
    <t>181810</t>
  </si>
  <si>
    <t>PJT DE DETALLE NC/REMODELACION INTEGRAL</t>
  </si>
  <si>
    <t>181811</t>
  </si>
  <si>
    <t>ANA. GEST SEGUI. LAS COMPRAS C LICIT. S</t>
  </si>
  <si>
    <t>181812</t>
  </si>
  <si>
    <t>ANA. GEST SEGUI. LAS COMPRAS C LICIT. M</t>
  </si>
  <si>
    <t>181813</t>
  </si>
  <si>
    <t>ANA. GEST SEGUI. LAS COMPRAS C LICIT. C</t>
  </si>
  <si>
    <t>181814</t>
  </si>
  <si>
    <t>ANA. GEST SEGUI. LAS COMPRAS C LICIT. NC</t>
  </si>
  <si>
    <t>181815</t>
  </si>
  <si>
    <t>ANA. GEST SEGUI. LAS COMPRAS S LICIT. S</t>
  </si>
  <si>
    <t>181816</t>
  </si>
  <si>
    <t>ANA. GEST SEGUI. LAS COMPRAS S LICIT. M</t>
  </si>
  <si>
    <t>181817</t>
  </si>
  <si>
    <t>ANA. GEST SEGUI. LAS COMPRAS S LICIT. C</t>
  </si>
  <si>
    <t>181818</t>
  </si>
  <si>
    <t>ANA. GEST SEGUI. LAS COMPRAS S LICIT. NC</t>
  </si>
  <si>
    <t>181819</t>
  </si>
  <si>
    <t>AS BUILT PROYECTO SENCILLO</t>
  </si>
  <si>
    <t>181820</t>
  </si>
  <si>
    <t>AS BUILT PROYECTO MEDIO</t>
  </si>
  <si>
    <t>181821</t>
  </si>
  <si>
    <t>AS BUILT PROYECTO COMPLEJO</t>
  </si>
  <si>
    <t>181822</t>
  </si>
  <si>
    <t>AS BUILT PROYECTO OBRA NUEVA</t>
  </si>
  <si>
    <t>181823</t>
  </si>
  <si>
    <t>CFO PROYECTO SENCILLO</t>
  </si>
  <si>
    <t>181824</t>
  </si>
  <si>
    <t>CFO PROYECTO MEDIO</t>
  </si>
  <si>
    <t>181825</t>
  </si>
  <si>
    <t>CFO PROYECTO COMPLEJO</t>
  </si>
  <si>
    <t>181826</t>
  </si>
  <si>
    <t>CFO PROYECTO OBRA NUEVA</t>
  </si>
  <si>
    <t>181827</t>
  </si>
  <si>
    <t>PJT LEGA. ACT./INST. FUNC. POR DR S</t>
  </si>
  <si>
    <t>181828</t>
  </si>
  <si>
    <t>PJT LEGA. ACT./INST. FUNC. POR DR C</t>
  </si>
  <si>
    <t>181829</t>
  </si>
  <si>
    <t>PJT LEGA. ACT./INST. FUNC. DR CMPT INST.</t>
  </si>
  <si>
    <t>181830</t>
  </si>
  <si>
    <t>PJT LEGA. ACT./INST. POR PJT S</t>
  </si>
  <si>
    <t>181831</t>
  </si>
  <si>
    <t>PJT LEGA. ACT./INST. POR PJT C</t>
  </si>
  <si>
    <t>181832</t>
  </si>
  <si>
    <t>PJT LEGA. ACT./INST. PJT CMPT INSTALA.</t>
  </si>
  <si>
    <t>181833</t>
  </si>
  <si>
    <t>PJT LEGA. ACT./INST. MEMO. PJT S</t>
  </si>
  <si>
    <t>181834</t>
  </si>
  <si>
    <t>PJT LEGA. ACT./INST. MEMO. PJT C</t>
  </si>
  <si>
    <t>181835</t>
  </si>
  <si>
    <t>PJT LEGA. ACT./INST. MEMO. CMPT INSTALA.</t>
  </si>
  <si>
    <t>181836</t>
  </si>
  <si>
    <t>PJT LEGA. ACT./INST. INDUS. PJT S</t>
  </si>
  <si>
    <t>181837</t>
  </si>
  <si>
    <t>PJT LEGA. ACT./INST. INDUS. PJT C</t>
  </si>
  <si>
    <t>181838</t>
  </si>
  <si>
    <t>PJT LEGA.ACT./INST. INDUS.CMPT INSTALA.</t>
  </si>
  <si>
    <t>165036</t>
  </si>
  <si>
    <t>165037</t>
  </si>
  <si>
    <t>165038</t>
  </si>
  <si>
    <t>181839</t>
  </si>
  <si>
    <t>COORDINACION DE SYS PROJECT OBRA NUEVA</t>
  </si>
  <si>
    <t>165062</t>
  </si>
  <si>
    <t>64318</t>
  </si>
  <si>
    <t>64319</t>
  </si>
  <si>
    <t>71120</t>
  </si>
  <si>
    <t>SUPERVISION DE OBRA SEMANA</t>
  </si>
  <si>
    <t>71121</t>
  </si>
  <si>
    <t>SUPERVISION DE OBRA MES</t>
  </si>
  <si>
    <t>165033</t>
  </si>
  <si>
    <t>165034</t>
  </si>
  <si>
    <t>165035</t>
  </si>
  <si>
    <t>181840</t>
  </si>
  <si>
    <t>DIRECCION FACULTATIVA PROJECT OBRA NUEVA</t>
  </si>
  <si>
    <t>181841</t>
  </si>
  <si>
    <t>HANDOVER PROYECTO SENCILLO</t>
  </si>
  <si>
    <t>181842</t>
  </si>
  <si>
    <t>HANDOVER PROYECTO MEDIO</t>
  </si>
  <si>
    <t>181843</t>
  </si>
  <si>
    <t>HANDOVER PROYECTO COMPLEJO</t>
  </si>
  <si>
    <t>181844</t>
  </si>
  <si>
    <t>HANDOVER PROYECTO OBRA NUEVA</t>
  </si>
  <si>
    <t>181845</t>
  </si>
  <si>
    <t>SYC PROV. PJT S 0-10EESS 1P SIN SS</t>
  </si>
  <si>
    <t>181846</t>
  </si>
  <si>
    <t>SYC PROV. PJT S 0-10EESS 1P CON SS</t>
  </si>
  <si>
    <t>181847</t>
  </si>
  <si>
    <t>SYC PROV. PJT S 0-10EESS 2?P?5 SIN SS</t>
  </si>
  <si>
    <t>181848</t>
  </si>
  <si>
    <t>SYC PROV. PJT S 0-10EESS 2?P?5 CON SS</t>
  </si>
  <si>
    <t>181849</t>
  </si>
  <si>
    <t>SYC PROV. PJT S 10-50EESS 1P SIN SS</t>
  </si>
  <si>
    <t>181850</t>
  </si>
  <si>
    <t>SYC PROV. PJT S 10-50EESS 1P CON SS</t>
  </si>
  <si>
    <t>181851</t>
  </si>
  <si>
    <t>SYC PROV PJT S 10-50EESS 2?P?5 SIN SS</t>
  </si>
  <si>
    <t>181852</t>
  </si>
  <si>
    <t>SYC PROV PJT S 10-50EESS 2?P?5 CON SS</t>
  </si>
  <si>
    <t>181853</t>
  </si>
  <si>
    <t>SYC PROV PJT S 50-100EESS 1P SIN SS</t>
  </si>
  <si>
    <t>181854</t>
  </si>
  <si>
    <t>SYC PROV PJT S 50-100EESS 1P CON SS</t>
  </si>
  <si>
    <t>181855</t>
  </si>
  <si>
    <t>SYC PROV PJT S 50-100EESS 2?P?5 SIN SS</t>
  </si>
  <si>
    <t>181856</t>
  </si>
  <si>
    <t>181857</t>
  </si>
  <si>
    <t>SYC PROV PJT S 100-200EESS 1P SIN SS</t>
  </si>
  <si>
    <t>181858</t>
  </si>
  <si>
    <t>SYC PROV PJT S 100-200EESS 1P CON SS</t>
  </si>
  <si>
    <t>181859</t>
  </si>
  <si>
    <t>SYC P. PJT S 100-200EESS 2?P? 5 SIN SS</t>
  </si>
  <si>
    <t>181860</t>
  </si>
  <si>
    <t>SYC P. PJT S 100-200EESS 2?P? 5 CON SS</t>
  </si>
  <si>
    <t>181861</t>
  </si>
  <si>
    <t>VISITA PRES. ORG. PUB. POR PD DE CEPSA</t>
  </si>
  <si>
    <t>181862</t>
  </si>
  <si>
    <t>ASISTENCIAS PUNTUALES</t>
  </si>
  <si>
    <t>181863</t>
  </si>
  <si>
    <t>ASIST. REPLA.+DESPLAZAMIENTO DESDE SEDE</t>
  </si>
  <si>
    <t>181864</t>
  </si>
  <si>
    <t>DESPLAZAMIENTO PENINSULA &gt; 200 KM</t>
  </si>
  <si>
    <t>181865</t>
  </si>
  <si>
    <t>DESPLAZAMIENTO PENINSULA &gt; 500 KM</t>
  </si>
  <si>
    <t>181866</t>
  </si>
  <si>
    <t>DESPLAZAMIENTO PENINSULA A ISLAS &gt;200KM</t>
  </si>
  <si>
    <t>181867</t>
  </si>
  <si>
    <t>DESPLAZAMIENTO PENINSULA A ISLAS &gt;500KM</t>
  </si>
  <si>
    <t>165074</t>
  </si>
  <si>
    <t>165073</t>
  </si>
  <si>
    <t>165076</t>
  </si>
  <si>
    <t>165042</t>
  </si>
  <si>
    <t>165044</t>
  </si>
  <si>
    <t>165077</t>
  </si>
  <si>
    <t>165078</t>
  </si>
  <si>
    <t>165059</t>
  </si>
  <si>
    <t>165025</t>
  </si>
  <si>
    <t>146686</t>
  </si>
  <si>
    <t>CONTESTACION REQUERIMIENTO</t>
  </si>
  <si>
    <t>181868</t>
  </si>
  <si>
    <t>COMUNICACIONES A LA ADMINISTRACION</t>
  </si>
  <si>
    <t>181869</t>
  </si>
  <si>
    <t>PJT LEGA. ACTI./INST. PJT S (1 ACTI.)</t>
  </si>
  <si>
    <t>181870</t>
  </si>
  <si>
    <t>PJT LEGA. ACTI./INST. PJT C (+2 ACTI.)</t>
  </si>
  <si>
    <t>181871</t>
  </si>
  <si>
    <t>PJT LEGA. ACTI./INST. PJT CMPT INSTALA.</t>
  </si>
  <si>
    <t>181872</t>
  </si>
  <si>
    <t>OBT. AYTO DE LICENCIA PJT S (1 ACTI.)</t>
  </si>
  <si>
    <t>181873</t>
  </si>
  <si>
    <t>OBT. AYTO DE LICENCIA PJT C (+2 ACTI.)</t>
  </si>
  <si>
    <t>181874</t>
  </si>
  <si>
    <t>OBT. AYTO DE LICENCIA PJT CMPT INSTALA.</t>
  </si>
  <si>
    <t>181875</t>
  </si>
  <si>
    <t>ELAB. CERTI EFICI. EGTA Y OBT ETIQ. EGTA</t>
  </si>
  <si>
    <t>181876</t>
  </si>
  <si>
    <t>ELABORACION DE INFORME URBANISTICO</t>
  </si>
  <si>
    <t>68653</t>
  </si>
  <si>
    <t>71122</t>
  </si>
  <si>
    <t>ESTUDIO URBANISTICO SIN CEDULA URBAN</t>
  </si>
  <si>
    <t>181877</t>
  </si>
  <si>
    <t>LAI Y CIA DERIVADO EXT. INSTL.</t>
  </si>
  <si>
    <t>181878</t>
  </si>
  <si>
    <t>LAI Y CIA DERIVADO 1 PJT NUEVO</t>
  </si>
  <si>
    <t>181879</t>
  </si>
  <si>
    <t>CONTROL INICIAL DE LCC 1 INSTL. EXT.</t>
  </si>
  <si>
    <t>181880</t>
  </si>
  <si>
    <t>CONTROL INICIAL DE LCC 1 PJT NUVEO</t>
  </si>
  <si>
    <t>181881</t>
  </si>
  <si>
    <t>CTL PRD ABT. (CADA 6 AÑOS) 1 INST. EXT.</t>
  </si>
  <si>
    <t>181882</t>
  </si>
  <si>
    <t>CTL PRD ABT. (CADA 6 AÑOS) 1 PJT NUEVO</t>
  </si>
  <si>
    <t>181883</t>
  </si>
  <si>
    <t>CTL COMPL. 1 INSTAL. EXT.</t>
  </si>
  <si>
    <t>181884</t>
  </si>
  <si>
    <t>CTL COMPL. 1 PJT NUEVO</t>
  </si>
  <si>
    <t>181885</t>
  </si>
  <si>
    <t>CAMBIO SUSTANCIAL LCC AMT. S (1 ACTI.)</t>
  </si>
  <si>
    <t>181886</t>
  </si>
  <si>
    <t>CAMBIO SUSTANCIAL LCC AMT. C(+2 ACTI.)</t>
  </si>
  <si>
    <t>181887</t>
  </si>
  <si>
    <t>CAMBIO N/SUSTANCIAL LCC AMT. S (1 ACTI.)</t>
  </si>
  <si>
    <t>181888</t>
  </si>
  <si>
    <t>CAMBIO N/SUSTANCIAL LCC AMT. C(+2 ACTI.)</t>
  </si>
  <si>
    <t>181889</t>
  </si>
  <si>
    <t>CONTRATACION DE OCA</t>
  </si>
  <si>
    <t>181890</t>
  </si>
  <si>
    <t>ACT. DATOS IND. ACT. SIMPLE</t>
  </si>
  <si>
    <t>181891</t>
  </si>
  <si>
    <t>ACT. DATOS IND. ACT. COMPLEJA</t>
  </si>
  <si>
    <t>165043</t>
  </si>
  <si>
    <t>181892</t>
  </si>
  <si>
    <t>REVISIONES CATASTRALES</t>
  </si>
  <si>
    <t>181893</t>
  </si>
  <si>
    <t>OBT. DUPL. DOC DE ORGANISMOS</t>
  </si>
  <si>
    <t>181894</t>
  </si>
  <si>
    <t>CAMBIO TITUL DE DOX ADMIN CT EN IND.</t>
  </si>
  <si>
    <t>181895</t>
  </si>
  <si>
    <t>CAMBIO TITUL DE DOX ADMIN CT EN AYTO</t>
  </si>
  <si>
    <t>181896</t>
  </si>
  <si>
    <t>CAMBIO TITUL DE DOX ADMIN CT OTROS</t>
  </si>
  <si>
    <t>181897</t>
  </si>
  <si>
    <t>RGLR. DE REGISTRO DE LA PROPIEDAD</t>
  </si>
  <si>
    <t>181898</t>
  </si>
  <si>
    <t>CERTIFICADOS DE PERSISTENCIA</t>
  </si>
  <si>
    <t>181899</t>
  </si>
  <si>
    <t>SUPERVISION DE CONSTRUCCION POR HORA</t>
  </si>
  <si>
    <t>165045</t>
  </si>
  <si>
    <t>165046</t>
  </si>
  <si>
    <t>165047</t>
  </si>
  <si>
    <t>165048</t>
  </si>
  <si>
    <t>165060</t>
  </si>
  <si>
    <t>165049</t>
  </si>
  <si>
    <t>165050</t>
  </si>
  <si>
    <t>165051</t>
  </si>
  <si>
    <t>165052</t>
  </si>
  <si>
    <t>165053</t>
  </si>
  <si>
    <t>165054</t>
  </si>
  <si>
    <t>165055</t>
  </si>
  <si>
    <t>181900</t>
  </si>
  <si>
    <t>ANALISIS DOCUMENTAL</t>
  </si>
  <si>
    <t>153116</t>
  </si>
  <si>
    <t>SUPERVISION DE OBRA DIA</t>
  </si>
  <si>
    <t>55565</t>
  </si>
  <si>
    <t>ESTUDIO HIDROLÓGICO</t>
  </si>
  <si>
    <t>21400</t>
  </si>
  <si>
    <t>N-IIA PK 437,2</t>
  </si>
  <si>
    <t>22520</t>
  </si>
  <si>
    <t>N-420 PK 313,6</t>
  </si>
  <si>
    <t>13620</t>
  </si>
  <si>
    <t>CM-400 PK 129</t>
  </si>
  <si>
    <t>13700</t>
  </si>
  <si>
    <t>GLORIETA DEL CID</t>
  </si>
  <si>
    <t>41004</t>
  </si>
  <si>
    <t>EX-107 PK 43,5</t>
  </si>
  <si>
    <t>06131</t>
  </si>
  <si>
    <t>AVDA. PARALELO, 179</t>
  </si>
  <si>
    <t>08004</t>
  </si>
  <si>
    <t>PUERTO PESQUERO, MUELLE MARINA (NORTE), S/N</t>
  </si>
  <si>
    <t>21410</t>
  </si>
  <si>
    <t>A-376 PK 40,3</t>
  </si>
  <si>
    <t>41710</t>
  </si>
  <si>
    <t>AVDA. CIUDAD DE BARCELONA, 61</t>
  </si>
  <si>
    <t>28007</t>
  </si>
  <si>
    <t>A-127 PK 32,3</t>
  </si>
  <si>
    <t>50600</t>
  </si>
  <si>
    <t>A-92A PK 45</t>
  </si>
  <si>
    <t>41600</t>
  </si>
  <si>
    <t>A-472 PK 0,2</t>
  </si>
  <si>
    <t>41800</t>
  </si>
  <si>
    <t>C-339 PK 61</t>
  </si>
  <si>
    <t>41530</t>
  </si>
  <si>
    <t>SE-631 PK 0,5</t>
  </si>
  <si>
    <t>41840</t>
  </si>
  <si>
    <t>N-340A PK 441</t>
  </si>
  <si>
    <t>04007</t>
  </si>
  <si>
    <t>MARQUES DE PARADAS, S/N</t>
  </si>
  <si>
    <t>41001</t>
  </si>
  <si>
    <t>CLOT, 181</t>
  </si>
  <si>
    <t>08027</t>
  </si>
  <si>
    <t>CAMÍ REAL, 547</t>
  </si>
  <si>
    <t>08302</t>
  </si>
  <si>
    <t>PLAZA DEL PUNTO S/N</t>
  </si>
  <si>
    <t>11170</t>
  </si>
  <si>
    <t>23100</t>
  </si>
  <si>
    <t>C-3210 PK 115</t>
  </si>
  <si>
    <t>23370</t>
  </si>
  <si>
    <t>15006</t>
  </si>
  <si>
    <t>N-331 PK 72</t>
  </si>
  <si>
    <t>14900</t>
  </si>
  <si>
    <t>28012</t>
  </si>
  <si>
    <t>SE-410 PK 3</t>
  </si>
  <si>
    <t>41500</t>
  </si>
  <si>
    <t>N-IVA PK 62</t>
  </si>
  <si>
    <t>45300</t>
  </si>
  <si>
    <t>N-IVA PK 46,7</t>
  </si>
  <si>
    <t>28300</t>
  </si>
  <si>
    <t>A-1 PK 24,1</t>
  </si>
  <si>
    <t>28700</t>
  </si>
  <si>
    <t>28027</t>
  </si>
  <si>
    <t>NUEVA DÁRSENA PESQUERA, S/N</t>
  </si>
  <si>
    <t>03008</t>
  </si>
  <si>
    <t>A-5 PK 3</t>
  </si>
  <si>
    <t>28011</t>
  </si>
  <si>
    <t>A-42 PK 10,3</t>
  </si>
  <si>
    <t>28901</t>
  </si>
  <si>
    <t>N-340 PK 934</t>
  </si>
  <si>
    <t>46500</t>
  </si>
  <si>
    <t>CS-802 PK 36</t>
  </si>
  <si>
    <t>12150</t>
  </si>
  <si>
    <t>CASTELLON</t>
  </si>
  <si>
    <t>24004</t>
  </si>
  <si>
    <t>N-IVA PK 405</t>
  </si>
  <si>
    <t>14013</t>
  </si>
  <si>
    <t>AVDA. JOAN MIRO, 22</t>
  </si>
  <si>
    <t>07014</t>
  </si>
  <si>
    <t>20230</t>
  </si>
  <si>
    <t>LA PALMA DEL CONDADO</t>
  </si>
  <si>
    <t>A-472 PK 47,8</t>
  </si>
  <si>
    <t>21700</t>
  </si>
  <si>
    <t>AXULAR IBILTOKIA, S/N</t>
  </si>
  <si>
    <t>20750</t>
  </si>
  <si>
    <t>06670</t>
  </si>
  <si>
    <t>31006</t>
  </si>
  <si>
    <t>N-435 PK 47</t>
  </si>
  <si>
    <t>06160</t>
  </si>
  <si>
    <t>06800</t>
  </si>
  <si>
    <t>PASSEIG DE LA UNIÓ S/N</t>
  </si>
  <si>
    <t>43820</t>
  </si>
  <si>
    <t>EX-208 PK 40</t>
  </si>
  <si>
    <t>10694</t>
  </si>
  <si>
    <t>VIA AUGUSTA</t>
  </si>
  <si>
    <t>VIA AUGUSTA, 2</t>
  </si>
  <si>
    <t>43003</t>
  </si>
  <si>
    <t>TV-3025 PK 0,5</t>
  </si>
  <si>
    <t>43860</t>
  </si>
  <si>
    <t>AMETLLA DE MAR</t>
  </si>
  <si>
    <t>POLIENTES</t>
  </si>
  <si>
    <t>S-614 PK 30</t>
  </si>
  <si>
    <t>39220</t>
  </si>
  <si>
    <t>N-620A PK 123</t>
  </si>
  <si>
    <t>47009</t>
  </si>
  <si>
    <t>JUAN DE GARAY, 9</t>
  </si>
  <si>
    <t>48003</t>
  </si>
  <si>
    <t>PLAZA REGOLLO, S/N</t>
  </si>
  <si>
    <t>48990</t>
  </si>
  <si>
    <t>GUECHO</t>
  </si>
  <si>
    <t>48300</t>
  </si>
  <si>
    <t>GUERNICA</t>
  </si>
  <si>
    <t>N-301A PK 377,8</t>
  </si>
  <si>
    <t>30500</t>
  </si>
  <si>
    <t>LOS ANGELES I</t>
  </si>
  <si>
    <t>A-4 PK 14,3</t>
  </si>
  <si>
    <t>28906</t>
  </si>
  <si>
    <t>PORT-BOU</t>
  </si>
  <si>
    <t>AVDA. FRANCIA, S/N</t>
  </si>
  <si>
    <t>17497</t>
  </si>
  <si>
    <t>PORT BOU</t>
  </si>
  <si>
    <t>GERONA</t>
  </si>
  <si>
    <t>N-II PK 674,2</t>
  </si>
  <si>
    <t>08380</t>
  </si>
  <si>
    <t>02630</t>
  </si>
  <si>
    <t>14940</t>
  </si>
  <si>
    <t>14009</t>
  </si>
  <si>
    <t>AVDA. CARLOS III, S/N</t>
  </si>
  <si>
    <t>14014</t>
  </si>
  <si>
    <t>N-432 PK 307</t>
  </si>
  <si>
    <t>14830</t>
  </si>
  <si>
    <t>CO-331 PK 38</t>
  </si>
  <si>
    <t>14540</t>
  </si>
  <si>
    <t>14500</t>
  </si>
  <si>
    <t>EL CIERVO</t>
  </si>
  <si>
    <t>N-II PK 381,7</t>
  </si>
  <si>
    <t>50750</t>
  </si>
  <si>
    <t>BA-640 PK 6,8</t>
  </si>
  <si>
    <t>06700</t>
  </si>
  <si>
    <t>N-340 PK 957</t>
  </si>
  <si>
    <t>12520</t>
  </si>
  <si>
    <t>PUERTO PESQUERO CASIZ, MUELLE LEVANTE, S/N</t>
  </si>
  <si>
    <t>11006</t>
  </si>
  <si>
    <t>MERCALICANTE</t>
  </si>
  <si>
    <t>N-330A PK 5</t>
  </si>
  <si>
    <t>03006</t>
  </si>
  <si>
    <t>SANT PONS DE LA BARCA, 2</t>
  </si>
  <si>
    <t>17007</t>
  </si>
  <si>
    <t>N-332A PK 46,6</t>
  </si>
  <si>
    <t>03180</t>
  </si>
  <si>
    <t>N-340 PK 818</t>
  </si>
  <si>
    <t>46860</t>
  </si>
  <si>
    <t>N-301 PK 152,3</t>
  </si>
  <si>
    <t>16638</t>
  </si>
  <si>
    <t>07320</t>
  </si>
  <si>
    <t>18600</t>
  </si>
  <si>
    <t>C-415 PK 63,5</t>
  </si>
  <si>
    <t>30400</t>
  </si>
  <si>
    <t>03450</t>
  </si>
  <si>
    <t>EX-206 PK 99</t>
  </si>
  <si>
    <t>06400</t>
  </si>
  <si>
    <t>08015</t>
  </si>
  <si>
    <t>N-332A PK 18</t>
  </si>
  <si>
    <t>30366</t>
  </si>
  <si>
    <t>N-634A PK 199,5</t>
  </si>
  <si>
    <t>39710</t>
  </si>
  <si>
    <t>A-472 PK 60</t>
  </si>
  <si>
    <t>21840</t>
  </si>
  <si>
    <t>N-111 PK 225,2</t>
  </si>
  <si>
    <t>42004</t>
  </si>
  <si>
    <t>03599</t>
  </si>
  <si>
    <t>N-III PK 82,5</t>
  </si>
  <si>
    <t>16400</t>
  </si>
  <si>
    <t>N-430 PK 213,8</t>
  </si>
  <si>
    <t>13100</t>
  </si>
  <si>
    <t>C-541 PK 12,8</t>
  </si>
  <si>
    <t>15886</t>
  </si>
  <si>
    <t>N-550 PK 71,2</t>
  </si>
  <si>
    <t>15866</t>
  </si>
  <si>
    <t>N-332A PK 32,6</t>
  </si>
  <si>
    <t>30730</t>
  </si>
  <si>
    <t>EX-209 PK 37,5</t>
  </si>
  <si>
    <t>06480</t>
  </si>
  <si>
    <t>LOS ENLACES</t>
  </si>
  <si>
    <t>AVDA. HISPANIDAD, 87-89</t>
  </si>
  <si>
    <t>50011</t>
  </si>
  <si>
    <t>N-340 PK 1177,4</t>
  </si>
  <si>
    <t>43830</t>
  </si>
  <si>
    <t>N-322 PK 405,5</t>
  </si>
  <si>
    <t>02200</t>
  </si>
  <si>
    <t>N-525 PK 240</t>
  </si>
  <si>
    <t>32001</t>
  </si>
  <si>
    <t>FORO</t>
  </si>
  <si>
    <t>SEVERO OCHOA, 36 - M.I. (AVDA. CONSTITUCION, 105 - M.D.)</t>
  </si>
  <si>
    <t>33210</t>
  </si>
  <si>
    <t>GI-512 PK 23</t>
  </si>
  <si>
    <t>17310</t>
  </si>
  <si>
    <t>C-3321 PK 38,1</t>
  </si>
  <si>
    <t>03160</t>
  </si>
  <si>
    <t>HIJOS DE ALFONSO GARRIDO</t>
  </si>
  <si>
    <t>A-472 PK 34,5</t>
  </si>
  <si>
    <t>21890</t>
  </si>
  <si>
    <t>MANZANILLA</t>
  </si>
  <si>
    <t>N-340A PK 5,1</t>
  </si>
  <si>
    <t>11130</t>
  </si>
  <si>
    <t>N-320A PK 138,5</t>
  </si>
  <si>
    <t>16004</t>
  </si>
  <si>
    <t>A-221 PK 27,4</t>
  </si>
  <si>
    <t>50700</t>
  </si>
  <si>
    <t>N-620 PK 351,5</t>
  </si>
  <si>
    <t>37480</t>
  </si>
  <si>
    <t>ASA SAN PEDRO</t>
  </si>
  <si>
    <t>N-340 PK 170,7</t>
  </si>
  <si>
    <t>29670</t>
  </si>
  <si>
    <t>N-152 PK 15,1</t>
  </si>
  <si>
    <t>08130</t>
  </si>
  <si>
    <t>SANTA PERPETUA DE MOGUDA</t>
  </si>
  <si>
    <t>N-IVA PK 294</t>
  </si>
  <si>
    <t>23710</t>
  </si>
  <si>
    <t>CM-400 PK 63,4</t>
  </si>
  <si>
    <t>45700</t>
  </si>
  <si>
    <t>N-541 PK 27</t>
  </si>
  <si>
    <t>32500</t>
  </si>
  <si>
    <t>MELGAR DE FERNAMENTAL</t>
  </si>
  <si>
    <t>N-120 PK 164</t>
  </si>
  <si>
    <t>09100</t>
  </si>
  <si>
    <t>C-501 PK 74</t>
  </si>
  <si>
    <t>05420</t>
  </si>
  <si>
    <t>PASEO MORET</t>
  </si>
  <si>
    <t>PASEO DE MORET, 7</t>
  </si>
  <si>
    <t>28008</t>
  </si>
  <si>
    <t>CAVANILLES</t>
  </si>
  <si>
    <t>GLORIETA EMBAJADORES, S/N</t>
  </si>
  <si>
    <t>ALCALA</t>
  </si>
  <si>
    <t>ALCALA, 415</t>
  </si>
  <si>
    <t>TORREJON DE LA CALZADA</t>
  </si>
  <si>
    <t>N-401A PK 25,8</t>
  </si>
  <si>
    <t>28991</t>
  </si>
  <si>
    <t>50014</t>
  </si>
  <si>
    <t>AVDA. FEDERICO SILVA MUÑOZ, 21</t>
  </si>
  <si>
    <t>49600</t>
  </si>
  <si>
    <t>A-1 PK 92,5</t>
  </si>
  <si>
    <t>28756</t>
  </si>
  <si>
    <t>N-232 PK 243,3</t>
  </si>
  <si>
    <t>N-620A PK 32,3</t>
  </si>
  <si>
    <t>09226</t>
  </si>
  <si>
    <t>A-92 PK 15,4</t>
  </si>
  <si>
    <t>N-547 PK 560</t>
  </si>
  <si>
    <t>15800</t>
  </si>
  <si>
    <t>P.P. LEPE</t>
  </si>
  <si>
    <t>PUERTO PESQUERO LEPE</t>
  </si>
  <si>
    <t>21440</t>
  </si>
  <si>
    <t>N-401A PK 72,9</t>
  </si>
  <si>
    <t>45006</t>
  </si>
  <si>
    <t>SEGOVIA, S/N</t>
  </si>
  <si>
    <t>28005</t>
  </si>
  <si>
    <t>A-1 PK 235</t>
  </si>
  <si>
    <t>09001</t>
  </si>
  <si>
    <t>SALAMANCA, 46</t>
  </si>
  <si>
    <t>49028</t>
  </si>
  <si>
    <t>A-4 PK 270</t>
  </si>
  <si>
    <t>23200</t>
  </si>
  <si>
    <t>N-340A PK 182</t>
  </si>
  <si>
    <t>29600</t>
  </si>
  <si>
    <t>PTO. PESQUERO MUELLE LEVANTE, S/N</t>
  </si>
  <si>
    <t>11500</t>
  </si>
  <si>
    <t>EL PUERTO DE SANTA MARIA</t>
  </si>
  <si>
    <t>MUELLE PESQUERO, S/n</t>
  </si>
  <si>
    <t>11380</t>
  </si>
  <si>
    <t>GAVISA</t>
  </si>
  <si>
    <t>CV-20 PK 3</t>
  </si>
  <si>
    <t>12003</t>
  </si>
  <si>
    <t>MUELLE COMERCIAL, S/N</t>
  </si>
  <si>
    <t>03700</t>
  </si>
  <si>
    <t xml:space="preserve"> c/. Ramón y Cajal, 1</t>
  </si>
  <si>
    <t>N-330A PK 56</t>
  </si>
  <si>
    <t>03400</t>
  </si>
  <si>
    <t>EK19 P.P. BARBATE</t>
  </si>
  <si>
    <t>MUELLE PESQUERO LA ALBUFERA (Z.I.)</t>
  </si>
  <si>
    <t>11160</t>
  </si>
  <si>
    <t>MA-19 PK 23</t>
  </si>
  <si>
    <t>07620</t>
  </si>
  <si>
    <t>CV-20 PK 16,8</t>
  </si>
  <si>
    <t>12200</t>
  </si>
  <si>
    <t>N-111 PK 223</t>
  </si>
  <si>
    <t>MUELLE PESQ</t>
  </si>
  <si>
    <t>29001</t>
  </si>
  <si>
    <t>PUERTO PESQUERO, S/N</t>
  </si>
  <si>
    <t>04610</t>
  </si>
  <si>
    <t>29680</t>
  </si>
  <si>
    <t>PUERTO PESQUERO BONANCA, CTRA. DE COLONIA DEL MONTE ALGAIDA</t>
  </si>
  <si>
    <t>11540</t>
  </si>
  <si>
    <t>PTO. PESQUERO, S/N</t>
  </si>
  <si>
    <t>03710</t>
  </si>
  <si>
    <t>04700</t>
  </si>
  <si>
    <t>N-232 PK 416,1</t>
  </si>
  <si>
    <t>26370</t>
  </si>
  <si>
    <t>32300</t>
  </si>
  <si>
    <t>C-550 PK 34</t>
  </si>
  <si>
    <t>15250</t>
  </si>
  <si>
    <t>C-611 PK 1,1</t>
  </si>
  <si>
    <t>24320</t>
  </si>
  <si>
    <t>04720</t>
  </si>
  <si>
    <t>N-VI PK 470,3</t>
  </si>
  <si>
    <t>27696</t>
  </si>
  <si>
    <t>28016</t>
  </si>
  <si>
    <t>N-340 PK 808,6</t>
  </si>
  <si>
    <t>03830</t>
  </si>
  <si>
    <t>PUERTO PESQUERO ADRA, S/N</t>
  </si>
  <si>
    <t>04770</t>
  </si>
  <si>
    <t>SANTA GENOVEVA, 28</t>
  </si>
  <si>
    <t>28017</t>
  </si>
  <si>
    <t>N-340A PK 650,1</t>
  </si>
  <si>
    <t>30835</t>
  </si>
  <si>
    <t>NUESTRA SEÑORA DE LA PALMA</t>
  </si>
  <si>
    <t>N-IVA PK 677</t>
  </si>
  <si>
    <t>11100</t>
  </si>
  <si>
    <t>28002</t>
  </si>
  <si>
    <t>VULCANO</t>
  </si>
  <si>
    <t>A-382 PK 2</t>
  </si>
  <si>
    <t>11405</t>
  </si>
  <si>
    <t>V-6116 PK 12,7</t>
  </si>
  <si>
    <t>46190</t>
  </si>
  <si>
    <t>N-330 PK 449,6</t>
  </si>
  <si>
    <t>50400</t>
  </si>
  <si>
    <t>PUERTO PESQUERO DE JAVEA, S/N</t>
  </si>
  <si>
    <t>03730</t>
  </si>
  <si>
    <t>C-344 PK 53</t>
  </si>
  <si>
    <t>11610</t>
  </si>
  <si>
    <t>MUELLE PESQUERO, AVDA. PUERTO, 8</t>
  </si>
  <si>
    <t>46400</t>
  </si>
  <si>
    <t>A-176 PK 27,4</t>
  </si>
  <si>
    <t>22720</t>
  </si>
  <si>
    <t>PTO. PESQUERO ROQUETAS, S/N</t>
  </si>
  <si>
    <t>04740</t>
  </si>
  <si>
    <t>P.P. PUNTA UMBRIA</t>
  </si>
  <si>
    <t>21100</t>
  </si>
  <si>
    <t>PASEO LAS FUENTECILLAS, S/N</t>
  </si>
  <si>
    <t>VALDECILLA</t>
  </si>
  <si>
    <t>AVDA. VALDECILLA, 14</t>
  </si>
  <si>
    <t>39010</t>
  </si>
  <si>
    <t>BANDEIRA</t>
  </si>
  <si>
    <t>N-525 PK 309,1</t>
  </si>
  <si>
    <t>36540</t>
  </si>
  <si>
    <t>N-601 PK 218,1</t>
  </si>
  <si>
    <t>47630</t>
  </si>
  <si>
    <t>LC-402 PK 74,1</t>
  </si>
  <si>
    <t>15840</t>
  </si>
  <si>
    <t>N-240-B PK 11,8</t>
  </si>
  <si>
    <t>01510</t>
  </si>
  <si>
    <t>N-611 PK 197</t>
  </si>
  <si>
    <t>39478</t>
  </si>
  <si>
    <t>C-101 PK 47</t>
  </si>
  <si>
    <t>19240</t>
  </si>
  <si>
    <t>PO-549 PK 8,9</t>
  </si>
  <si>
    <t>36630</t>
  </si>
  <si>
    <t>N-234 PK 62,8</t>
  </si>
  <si>
    <t>12420</t>
  </si>
  <si>
    <t>N-340 PK 1213,7</t>
  </si>
  <si>
    <t>08720</t>
  </si>
  <si>
    <t>VILLAFRANCA DEL PENEDES</t>
  </si>
  <si>
    <t>A-472 PK 85</t>
  </si>
  <si>
    <t>21007</t>
  </si>
  <si>
    <t>AVDA. FEDERICO MAYO, ESQUINA AVDA. ELCHE</t>
  </si>
  <si>
    <t>N-IIA PK 55,1</t>
  </si>
  <si>
    <t>19002</t>
  </si>
  <si>
    <t>IBIZA-SAN JOSE</t>
  </si>
  <si>
    <t>PM-803 PK 14,3</t>
  </si>
  <si>
    <t>07830</t>
  </si>
  <si>
    <t>IBIZA-SANTA EULALIA</t>
  </si>
  <si>
    <t>PM-810 PK 3,3</t>
  </si>
  <si>
    <t>07840</t>
  </si>
  <si>
    <t>SANTA EULALIA DEL RIO</t>
  </si>
  <si>
    <t>N-632 PK 94,4</t>
  </si>
  <si>
    <t>33400</t>
  </si>
  <si>
    <t>05480</t>
  </si>
  <si>
    <t>NUESTRA SEÑORA DE LOS REMEDIOS</t>
  </si>
  <si>
    <t>A-8006 PK 22,2</t>
  </si>
  <si>
    <t>41309</t>
  </si>
  <si>
    <t>REYES CATOLICOS, 2</t>
  </si>
  <si>
    <t>01013</t>
  </si>
  <si>
    <t>N-340A PK 428,2</t>
  </si>
  <si>
    <t>C-501 PK 0,5</t>
  </si>
  <si>
    <t>C-713 PK 51,1</t>
  </si>
  <si>
    <t>07400</t>
  </si>
  <si>
    <t>RONDA DEL GENERAL MITRE, 128</t>
  </si>
  <si>
    <t>08021</t>
  </si>
  <si>
    <t>N-630 PK 556,5</t>
  </si>
  <si>
    <t>10195</t>
  </si>
  <si>
    <t>N-340A PK 966,4</t>
  </si>
  <si>
    <t>12540</t>
  </si>
  <si>
    <t>N-IVA PK 358,5</t>
  </si>
  <si>
    <t>14600</t>
  </si>
  <si>
    <t>N-IVA PK 424</t>
  </si>
  <si>
    <t>14191</t>
  </si>
  <si>
    <t>N-211 PK 60</t>
  </si>
  <si>
    <t>19300</t>
  </si>
  <si>
    <t>N-141-C PK 27,3</t>
  </si>
  <si>
    <t>08180</t>
  </si>
  <si>
    <t>MOYA</t>
  </si>
  <si>
    <t>A-472 PK 75</t>
  </si>
  <si>
    <t>21610</t>
  </si>
  <si>
    <t>N-547 PK 85,1</t>
  </si>
  <si>
    <t>15821</t>
  </si>
  <si>
    <t>N-630A PK 469,5</t>
  </si>
  <si>
    <t>10600</t>
  </si>
  <si>
    <t>N-230 PK 3,2</t>
  </si>
  <si>
    <t>25005</t>
  </si>
  <si>
    <t>LERIDA</t>
  </si>
  <si>
    <t>A-6 PK 11,6</t>
  </si>
  <si>
    <t>28023</t>
  </si>
  <si>
    <t>C-341 PK 57,4</t>
  </si>
  <si>
    <t>29400</t>
  </si>
  <si>
    <t>C-3211A PK 94,6</t>
  </si>
  <si>
    <t>30880</t>
  </si>
  <si>
    <t>N-111 PK 358,6</t>
  </si>
  <si>
    <t>31210</t>
  </si>
  <si>
    <t>A-66 PK 58,5</t>
  </si>
  <si>
    <t>33630</t>
  </si>
  <si>
    <t>AREA TORRES</t>
  </si>
  <si>
    <t>N-634A PK 232,3</t>
  </si>
  <si>
    <t>39300</t>
  </si>
  <si>
    <t>A-231 PK 20,3</t>
  </si>
  <si>
    <t>44580</t>
  </si>
  <si>
    <t>N-340 PK 844,2</t>
  </si>
  <si>
    <t>46800</t>
  </si>
  <si>
    <t>CV-865 PK 18</t>
  </si>
  <si>
    <t>03130</t>
  </si>
  <si>
    <t>C-713 PK 38,3</t>
  </si>
  <si>
    <t>07310</t>
  </si>
  <si>
    <t>N-340 PK 1051</t>
  </si>
  <si>
    <t>12500</t>
  </si>
  <si>
    <t>A-316 PK 67,5</t>
  </si>
  <si>
    <t>23640</t>
  </si>
  <si>
    <t>TORREDELCAMPO</t>
  </si>
  <si>
    <t>A-6 PK 374,8</t>
  </si>
  <si>
    <t>24398</t>
  </si>
  <si>
    <t>N-I PK 480,5</t>
  </si>
  <si>
    <t>20305</t>
  </si>
  <si>
    <t>A-364 PK 41</t>
  </si>
  <si>
    <t>41620</t>
  </si>
  <si>
    <t>N-332 PK 254,5</t>
  </si>
  <si>
    <t>46410</t>
  </si>
  <si>
    <t>A-6 PK 249,7</t>
  </si>
  <si>
    <t>49650</t>
  </si>
  <si>
    <t>N-432 PK 313,3</t>
  </si>
  <si>
    <t>14840</t>
  </si>
  <si>
    <t>C-13 PK 94,5</t>
  </si>
  <si>
    <t>25500</t>
  </si>
  <si>
    <t>SE-430 PK 34,1</t>
  </si>
  <si>
    <t>41640</t>
  </si>
  <si>
    <t>AEROPUERTO</t>
  </si>
  <si>
    <t>A-4 PK 535,8</t>
  </si>
  <si>
    <t>41020</t>
  </si>
  <si>
    <t>N-340 PK 963,7</t>
  </si>
  <si>
    <t>12539</t>
  </si>
  <si>
    <t>N-121-B PK 79,9</t>
  </si>
  <si>
    <t>31711</t>
  </si>
  <si>
    <t>EX-100 PK 82,9</t>
  </si>
  <si>
    <t>06180</t>
  </si>
  <si>
    <t>GEVORA DEL CAUDILLO</t>
  </si>
  <si>
    <t>N-VA PK 340</t>
  </si>
  <si>
    <t>ALCOLEA</t>
  </si>
  <si>
    <t>A-431 PK 89,1</t>
  </si>
  <si>
    <t>41449</t>
  </si>
  <si>
    <t>N-344A PK 9,6</t>
  </si>
  <si>
    <t>30565</t>
  </si>
  <si>
    <t>LAS TORRES DE COTILLAS</t>
  </si>
  <si>
    <t>N-603 PK 94,5</t>
  </si>
  <si>
    <t>40005</t>
  </si>
  <si>
    <t>46600</t>
  </si>
  <si>
    <t>N-630A PK 678,3</t>
  </si>
  <si>
    <t>06230</t>
  </si>
  <si>
    <t>36450</t>
  </si>
  <si>
    <t>28100</t>
  </si>
  <si>
    <t>ZA-1405 PK 32</t>
  </si>
  <si>
    <t>49160</t>
  </si>
  <si>
    <t>SE-631 PK 7,6</t>
  </si>
  <si>
    <t>41850</t>
  </si>
  <si>
    <t>P.P. CONIL</t>
  </si>
  <si>
    <t>P.P. CONIL DE LA FRONTERA</t>
  </si>
  <si>
    <t>11140</t>
  </si>
  <si>
    <t>CONIL DE LA FRONTERA</t>
  </si>
  <si>
    <t>A-131 PK 16,8</t>
  </si>
  <si>
    <t>22234</t>
  </si>
  <si>
    <t>N-630 PK 261,6</t>
  </si>
  <si>
    <t>49149</t>
  </si>
  <si>
    <t>C-627 PK 38,3</t>
  </si>
  <si>
    <t>09120</t>
  </si>
  <si>
    <t>N-340A PK 157,6</t>
  </si>
  <si>
    <t>N-260 PK 49,5</t>
  </si>
  <si>
    <t>17746</t>
  </si>
  <si>
    <t>CABANELLAS</t>
  </si>
  <si>
    <t>ALIÑO MOLL</t>
  </si>
  <si>
    <t>BARRIADA LA PLATA, S/N</t>
  </si>
  <si>
    <t>11404</t>
  </si>
  <si>
    <t>BALSICAS</t>
  </si>
  <si>
    <t>C-3319A PK 16</t>
  </si>
  <si>
    <t>30591</t>
  </si>
  <si>
    <t>N-603 PK 94</t>
  </si>
  <si>
    <t>AL-100 PK 5,9</t>
  </si>
  <si>
    <t>04120</t>
  </si>
  <si>
    <t>MIRALCAMPO I</t>
  </si>
  <si>
    <t>A-2 PK 41,2</t>
  </si>
  <si>
    <t>19200</t>
  </si>
  <si>
    <t>N-240 PK 379,1</t>
  </si>
  <si>
    <t>31110</t>
  </si>
  <si>
    <t>A-1101 PK 16,5</t>
  </si>
  <si>
    <t>50153</t>
  </si>
  <si>
    <t>N-601 PK 259,7</t>
  </si>
  <si>
    <t>47670</t>
  </si>
  <si>
    <t>N-VA PK 14,8</t>
  </si>
  <si>
    <t>28922</t>
  </si>
  <si>
    <t>NA-123 PK 0,7</t>
  </si>
  <si>
    <t>31580</t>
  </si>
  <si>
    <t>N-141 PK 102</t>
  </si>
  <si>
    <t>17160</t>
  </si>
  <si>
    <t>MOLLET</t>
  </si>
  <si>
    <t>AVDA. BURGOS, 81</t>
  </si>
  <si>
    <t>08100</t>
  </si>
  <si>
    <t>MONTIVER</t>
  </si>
  <si>
    <t>N-340 PK 935</t>
  </si>
  <si>
    <t>N-IIA PK 238</t>
  </si>
  <si>
    <t>50300</t>
  </si>
  <si>
    <t>N-340A PK 615,5</t>
  </si>
  <si>
    <t>30850</t>
  </si>
  <si>
    <t>A-2 PK 285</t>
  </si>
  <si>
    <t>50290</t>
  </si>
  <si>
    <t>08034</t>
  </si>
  <si>
    <t>N-331 PK 32,6</t>
  </si>
  <si>
    <t>14520</t>
  </si>
  <si>
    <t>N-301A PK 366</t>
  </si>
  <si>
    <t>30612</t>
  </si>
  <si>
    <t>CM-332 PK 1</t>
  </si>
  <si>
    <t>02006</t>
  </si>
  <si>
    <t>N-IVA PK 117,6</t>
  </si>
  <si>
    <t>45710</t>
  </si>
  <si>
    <t>CV-840 PK 21,2</t>
  </si>
  <si>
    <t>03668</t>
  </si>
  <si>
    <t>C-17 PK 20,5</t>
  </si>
  <si>
    <t>08186</t>
  </si>
  <si>
    <t>LLISSA DE MUNT</t>
  </si>
  <si>
    <t>N-550 PK 49,5</t>
  </si>
  <si>
    <t>15884</t>
  </si>
  <si>
    <t>N-611 PK 79</t>
  </si>
  <si>
    <t>34480</t>
  </si>
  <si>
    <t>SERRA DE OUTES</t>
  </si>
  <si>
    <t>C-550 PK 10,5</t>
  </si>
  <si>
    <t>15230</t>
  </si>
  <si>
    <t>LA SIERRA DE OUTES</t>
  </si>
  <si>
    <t>C-3331 PK 61</t>
  </si>
  <si>
    <t>11330</t>
  </si>
  <si>
    <t>N-351 PK 2</t>
  </si>
  <si>
    <t>11360</t>
  </si>
  <si>
    <t>MA-401 PK 16,8</t>
  </si>
  <si>
    <t>29570</t>
  </si>
  <si>
    <t>SAN MATIAS</t>
  </si>
  <si>
    <t>28033</t>
  </si>
  <si>
    <t>C-339 PK 110,2</t>
  </si>
  <si>
    <t>PO-308 PK 14</t>
  </si>
  <si>
    <t>36992</t>
  </si>
  <si>
    <t>N-403 PK 51,2</t>
  </si>
  <si>
    <t>45910</t>
  </si>
  <si>
    <t>N-122 PK 84,6</t>
  </si>
  <si>
    <t>50500</t>
  </si>
  <si>
    <t>Z-704 PK 3,2</t>
  </si>
  <si>
    <t>50780</t>
  </si>
  <si>
    <t>C-59 PK 1,5</t>
  </si>
  <si>
    <t>AVDA. BRILLANTE, S/N</t>
  </si>
  <si>
    <t>14006</t>
  </si>
  <si>
    <t>N-122 PK 184,3</t>
  </si>
  <si>
    <t>42193</t>
  </si>
  <si>
    <t>07460</t>
  </si>
  <si>
    <t>A-1234 PK 12,4</t>
  </si>
  <si>
    <t>22530</t>
  </si>
  <si>
    <t>N-VIA PK 383,5</t>
  </si>
  <si>
    <t>24400</t>
  </si>
  <si>
    <t>N-634 PK 244,7</t>
  </si>
  <si>
    <t>39500</t>
  </si>
  <si>
    <t>CABEZON DE LA SAL</t>
  </si>
  <si>
    <t>AS-19 PK 19,4</t>
  </si>
  <si>
    <t>33416</t>
  </si>
  <si>
    <t>CORVERA DE ASTURIAS</t>
  </si>
  <si>
    <t>N-IV PK 632</t>
  </si>
  <si>
    <t>11591</t>
  </si>
  <si>
    <t>N-204 PK 47,5</t>
  </si>
  <si>
    <t>19420</t>
  </si>
  <si>
    <t>N-622 PK 20,3</t>
  </si>
  <si>
    <t>01130</t>
  </si>
  <si>
    <t>VILLAREJO II</t>
  </si>
  <si>
    <t>A-3 PK 49,3</t>
  </si>
  <si>
    <t>28590</t>
  </si>
  <si>
    <t>M-501 PK 17,2</t>
  </si>
  <si>
    <t>28690</t>
  </si>
  <si>
    <t>IBIZA - SAN ANTONIO</t>
  </si>
  <si>
    <t>C-731 PK 13</t>
  </si>
  <si>
    <t>07820</t>
  </si>
  <si>
    <t>N-623 PK 9,7</t>
  </si>
  <si>
    <t>09140</t>
  </si>
  <si>
    <t>N-323A PK 32,2</t>
  </si>
  <si>
    <t>23008</t>
  </si>
  <si>
    <t>A-5 PK 28,6</t>
  </si>
  <si>
    <t>28600</t>
  </si>
  <si>
    <t>N-340 PK 197,7</t>
  </si>
  <si>
    <t>29650</t>
  </si>
  <si>
    <t>MIJAS</t>
  </si>
  <si>
    <t>ARCOS DE JALON</t>
  </si>
  <si>
    <t>A-2 PK 170,2</t>
  </si>
  <si>
    <t>42250</t>
  </si>
  <si>
    <t>A-391 PK 0,5</t>
  </si>
  <si>
    <t>N-432 PK 115</t>
  </si>
  <si>
    <t>06900</t>
  </si>
  <si>
    <t>A-4 PK 12,5</t>
  </si>
  <si>
    <t>N-634 PK 431,3</t>
  </si>
  <si>
    <t>33820</t>
  </si>
  <si>
    <t>AS-16 PK 7,3</t>
  </si>
  <si>
    <t>33120</t>
  </si>
  <si>
    <t>A-1512 PK 27,9</t>
  </si>
  <si>
    <t>44100</t>
  </si>
  <si>
    <t>A-2 PK 5,1</t>
  </si>
  <si>
    <t>N-240A PK 96,4</t>
  </si>
  <si>
    <t>25198</t>
  </si>
  <si>
    <t>LAS BASES DE ALPICAT</t>
  </si>
  <si>
    <t>N-403 PK 27,8</t>
  </si>
  <si>
    <t>45500</t>
  </si>
  <si>
    <t>N-IVA PK 83</t>
  </si>
  <si>
    <t>45760</t>
  </si>
  <si>
    <t>28320</t>
  </si>
  <si>
    <t>PILAR DE LA HORADADA I</t>
  </si>
  <si>
    <t>A-353 PK 35,5</t>
  </si>
  <si>
    <t>03190</t>
  </si>
  <si>
    <t>AVDA. CONSTITUCION, 68</t>
  </si>
  <si>
    <t>41350</t>
  </si>
  <si>
    <t>C-66 PK 6,4</t>
  </si>
  <si>
    <t>17111</t>
  </si>
  <si>
    <t>VULPELLACH</t>
  </si>
  <si>
    <t>N-122 PK 439,2</t>
  </si>
  <si>
    <t>49881</t>
  </si>
  <si>
    <t>MONTE DE LA REINA</t>
  </si>
  <si>
    <t>A-92A PK 333</t>
  </si>
  <si>
    <t>04500</t>
  </si>
  <si>
    <t>CV-923 PK 2,1</t>
  </si>
  <si>
    <t>03312</t>
  </si>
  <si>
    <t>ALP-818 PK 1,4</t>
  </si>
  <si>
    <t>04638</t>
  </si>
  <si>
    <t>AV-512 PK 0,8</t>
  </si>
  <si>
    <t>05260</t>
  </si>
  <si>
    <t>ZA-913 PK 32,5</t>
  </si>
  <si>
    <t>49523</t>
  </si>
  <si>
    <t>N-332 PK 63,3</t>
  </si>
  <si>
    <t>C-527 PK 60,5</t>
  </si>
  <si>
    <t>49220</t>
  </si>
  <si>
    <t>LC-231 PK 16,9</t>
  </si>
  <si>
    <t>15813</t>
  </si>
  <si>
    <t>RONDA CERDANYOLA, S/N</t>
  </si>
  <si>
    <t>08290</t>
  </si>
  <si>
    <t>SARDANYOLA</t>
  </si>
  <si>
    <t>EL CRUCE DE CEDILLO</t>
  </si>
  <si>
    <t>CM-4004 PK 51</t>
  </si>
  <si>
    <t>45214</t>
  </si>
  <si>
    <t>A-392 PK 30,6</t>
  </si>
  <si>
    <t>41410</t>
  </si>
  <si>
    <t>TO-742 PK 0,2</t>
  </si>
  <si>
    <t>45690</t>
  </si>
  <si>
    <t>A-480 PK 22,1</t>
  </si>
  <si>
    <t>N-432 PK 74,5</t>
  </si>
  <si>
    <t>06300</t>
  </si>
  <si>
    <t>LA GARRUCHA</t>
  </si>
  <si>
    <t>AL-152 PK 4,8</t>
  </si>
  <si>
    <t>C-14 PK 37,2</t>
  </si>
  <si>
    <t>43490</t>
  </si>
  <si>
    <t>VILAVERT</t>
  </si>
  <si>
    <t>C-16 PK 35,5</t>
  </si>
  <si>
    <t>08233</t>
  </si>
  <si>
    <t>VACARISAS</t>
  </si>
  <si>
    <t>LC-402 PK 48,2</t>
  </si>
  <si>
    <t>15185</t>
  </si>
  <si>
    <t>A-349 PK 34</t>
  </si>
  <si>
    <t>04275</t>
  </si>
  <si>
    <t>AVDA. CONSTITUCION, 150</t>
  </si>
  <si>
    <t>A-392 PK 0,7</t>
  </si>
  <si>
    <t>02002</t>
  </si>
  <si>
    <t>CV-81 PK 14,3</t>
  </si>
  <si>
    <t>46880</t>
  </si>
  <si>
    <t>BOCAIRENTE</t>
  </si>
  <si>
    <t>C-31 PK 357,2</t>
  </si>
  <si>
    <t>17142</t>
  </si>
  <si>
    <t>N-111 PK 334,5</t>
  </si>
  <si>
    <t>26004</t>
  </si>
  <si>
    <t>LU-124 PK 23,5</t>
  </si>
  <si>
    <t>27744</t>
  </si>
  <si>
    <t>C-621 PK 50,5</t>
  </si>
  <si>
    <t>24248</t>
  </si>
  <si>
    <t>N-110 PK 110,6</t>
  </si>
  <si>
    <t>40516</t>
  </si>
  <si>
    <t>VV-1022 PK 9,2</t>
  </si>
  <si>
    <t>46840</t>
  </si>
  <si>
    <t>LU-122 PK 9,4</t>
  </si>
  <si>
    <t>27287</t>
  </si>
  <si>
    <t>C-42 PK 5</t>
  </si>
  <si>
    <t>43500</t>
  </si>
  <si>
    <t>A-399 PK 16,2</t>
  </si>
  <si>
    <t>04810</t>
  </si>
  <si>
    <t>A-315 PK 90,5</t>
  </si>
  <si>
    <t>18812</t>
  </si>
  <si>
    <t>N-430 PK 153,8</t>
  </si>
  <si>
    <t>06770</t>
  </si>
  <si>
    <t>C-612 PK 6,2</t>
  </si>
  <si>
    <t>49121</t>
  </si>
  <si>
    <t>LU-750 PK 17,1</t>
  </si>
  <si>
    <t>27279</t>
  </si>
  <si>
    <t>28850</t>
  </si>
  <si>
    <t>C-321 PK 4,3</t>
  </si>
  <si>
    <t>23360</t>
  </si>
  <si>
    <t>CL-610 PK 5,5</t>
  </si>
  <si>
    <t>34190</t>
  </si>
  <si>
    <t>M-402 PK 3,3</t>
  </si>
  <si>
    <t>28914</t>
  </si>
  <si>
    <t>N-IVA PK 323,7</t>
  </si>
  <si>
    <t>23740</t>
  </si>
  <si>
    <t>AV-1421 PK 5,6</t>
  </si>
  <si>
    <t>03727</t>
  </si>
  <si>
    <t>PO-551 PK 15,4</t>
  </si>
  <si>
    <t>36940</t>
  </si>
  <si>
    <t>TORO LABRADOR</t>
  </si>
  <si>
    <t>EX-209 PK 22,5</t>
  </si>
  <si>
    <t>06184</t>
  </si>
  <si>
    <t>CTRA. BARROSA-CHICLANA DE LA FRONTERA-SANCTI PETRI, 2.5</t>
  </si>
  <si>
    <t>MA-202 PK 29,3</t>
  </si>
  <si>
    <t>29210</t>
  </si>
  <si>
    <t>SE-631 PK 3,9</t>
  </si>
  <si>
    <t>LA JUNQUERA</t>
  </si>
  <si>
    <t>N-II PK 783</t>
  </si>
  <si>
    <t>17700</t>
  </si>
  <si>
    <t>11312</t>
  </si>
  <si>
    <t>C-3223 PK 9,7</t>
  </si>
  <si>
    <t>30620</t>
  </si>
  <si>
    <t>AFER</t>
  </si>
  <si>
    <t>EX-102 PK 12,2</t>
  </si>
  <si>
    <t>10134</t>
  </si>
  <si>
    <t>CAMPO LUGAR</t>
  </si>
  <si>
    <t>VENTA DE LA ESTRELLA, 3 - POLIGONO INDUSTRIAL URITIASOLO, PARCELA 215</t>
  </si>
  <si>
    <t>01006</t>
  </si>
  <si>
    <t>PO-231</t>
  </si>
  <si>
    <t>36110</t>
  </si>
  <si>
    <t>N-301 PK 160</t>
  </si>
  <si>
    <t>16660</t>
  </si>
  <si>
    <t>08036</t>
  </si>
  <si>
    <t>N-340A PK 656</t>
  </si>
  <si>
    <t>30002</t>
  </si>
  <si>
    <t>CC-204 PK 23,9</t>
  </si>
  <si>
    <t>10810</t>
  </si>
  <si>
    <t>SAN MARCOS-CABOVILAÑO</t>
  </si>
  <si>
    <t>C-552 PK 25,2</t>
  </si>
  <si>
    <t>15145</t>
  </si>
  <si>
    <t>LARACHA</t>
  </si>
  <si>
    <t>MAYOR ESQUINA A MONTURIOL, 120</t>
  </si>
  <si>
    <t>43896</t>
  </si>
  <si>
    <t>LA ALDEA</t>
  </si>
  <si>
    <t>N-240 PK 149,5</t>
  </si>
  <si>
    <t>22310</t>
  </si>
  <si>
    <t>ALP-701 PK 1,8</t>
  </si>
  <si>
    <t>EL SEGRE</t>
  </si>
  <si>
    <t>POLIGONO INDUSTRIAL EL SEGRE, PARCELA 202-R</t>
  </si>
  <si>
    <t>25191</t>
  </si>
  <si>
    <t>N-122 PK 353,8</t>
  </si>
  <si>
    <t>47193</t>
  </si>
  <si>
    <t>N-525 PK 267,8</t>
  </si>
  <si>
    <t>32138</t>
  </si>
  <si>
    <t>PUERTA DE ALICANTE</t>
  </si>
  <si>
    <t>AVDA. ALCALDE LORENZO CARBONELL, 71</t>
  </si>
  <si>
    <t>N-640 PK 236,7</t>
  </si>
  <si>
    <t>36600</t>
  </si>
  <si>
    <t>VIRGEN DE LOS MILAGROS</t>
  </si>
  <si>
    <t>A-494 PK 18,6</t>
  </si>
  <si>
    <t>21810</t>
  </si>
  <si>
    <t>C-16 PK 92,3</t>
  </si>
  <si>
    <t>08611</t>
  </si>
  <si>
    <t>BV-6001 PK 2,6</t>
  </si>
  <si>
    <t>AP-3061 PK 15,5</t>
  </si>
  <si>
    <t>03150</t>
  </si>
  <si>
    <t>SAN PEDRO DEL PINATAR II</t>
  </si>
  <si>
    <t>N-332A PK 36,5</t>
  </si>
  <si>
    <t>30740</t>
  </si>
  <si>
    <t>CA-233 PK 6,3</t>
  </si>
  <si>
    <t>11300</t>
  </si>
  <si>
    <t>N-601 PK 159,4</t>
  </si>
  <si>
    <t>47238</t>
  </si>
  <si>
    <t>H-122 PK 0,1</t>
  </si>
  <si>
    <t>21590</t>
  </si>
  <si>
    <t>LE-493 PK 43,3</t>
  </si>
  <si>
    <t>24127</t>
  </si>
  <si>
    <t>VENTA DEL HOYO</t>
  </si>
  <si>
    <t>N-403 PK 7,4</t>
  </si>
  <si>
    <t>45005</t>
  </si>
  <si>
    <t>NA-161 PK 4,2</t>
  </si>
  <si>
    <t>31591</t>
  </si>
  <si>
    <t>N-234 PK 141</t>
  </si>
  <si>
    <t>44370</t>
  </si>
  <si>
    <t>ALP-204 PK 10,6</t>
  </si>
  <si>
    <t>04110</t>
  </si>
  <si>
    <t>ALP-751 PK 19,4</t>
  </si>
  <si>
    <t>04692</t>
  </si>
  <si>
    <t>A-362 PK 7</t>
  </si>
  <si>
    <t>A-392 PK 2,6</t>
  </si>
  <si>
    <t>A-376 PK 23,7</t>
  </si>
  <si>
    <t>FOMBELLIDA</t>
  </si>
  <si>
    <t>N-611 PK 130,1</t>
  </si>
  <si>
    <t>39213</t>
  </si>
  <si>
    <t>C-15 PK 45,4</t>
  </si>
  <si>
    <t>08811</t>
  </si>
  <si>
    <t>CANYELLAS</t>
  </si>
  <si>
    <t>AV-3051 PK 6,2</t>
  </si>
  <si>
    <t>03203</t>
  </si>
  <si>
    <t>VILLAREJO I</t>
  </si>
  <si>
    <t>A-3 PK 49,4</t>
  </si>
  <si>
    <t>BUQUERIN CASTRILLO</t>
  </si>
  <si>
    <t>N-122 PK 278,2</t>
  </si>
  <si>
    <t>09391</t>
  </si>
  <si>
    <t>CV-35 PK 73,5</t>
  </si>
  <si>
    <t>46177</t>
  </si>
  <si>
    <t>A-6100 CTRA. DE BAÑOS, S/N</t>
  </si>
  <si>
    <t>23700</t>
  </si>
  <si>
    <t>N-632 PK 146,8</t>
  </si>
  <si>
    <t>33700</t>
  </si>
  <si>
    <t>VALDES</t>
  </si>
  <si>
    <t>A-495 PK 26,7</t>
  </si>
  <si>
    <t>21520</t>
  </si>
  <si>
    <t>RUS</t>
  </si>
  <si>
    <t>CP-1914 PK 4,6</t>
  </si>
  <si>
    <t>15100</t>
  </si>
  <si>
    <t>EL SABINAR</t>
  </si>
  <si>
    <t>MU-312 PK 11</t>
  </si>
  <si>
    <t>30385</t>
  </si>
  <si>
    <t>A-4 PK 552,4</t>
  </si>
  <si>
    <t>41700</t>
  </si>
  <si>
    <t>AS-15 PK 50,4</t>
  </si>
  <si>
    <t>33800</t>
  </si>
  <si>
    <t>BURIZ</t>
  </si>
  <si>
    <t>LU-170 PK 9</t>
  </si>
  <si>
    <t>27300</t>
  </si>
  <si>
    <t>N-IVA PK 26,3</t>
  </si>
  <si>
    <t>28340</t>
  </si>
  <si>
    <t>BONAVIA</t>
  </si>
  <si>
    <t>N-232 PK 271,2</t>
  </si>
  <si>
    <t>50690</t>
  </si>
  <si>
    <t>PEDROLA</t>
  </si>
  <si>
    <t>A-121 PK 2</t>
  </si>
  <si>
    <t>50529</t>
  </si>
  <si>
    <t>ELICHE</t>
  </si>
  <si>
    <t>P.I. LOS OLIVARES, PARCELAS 14-10 - RONDA DE LOS OLIVARES, 71</t>
  </si>
  <si>
    <t>23009</t>
  </si>
  <si>
    <t>CV-230/1 PK 27,5</t>
  </si>
  <si>
    <t>24740</t>
  </si>
  <si>
    <t>MU-602 PK 29,2</t>
  </si>
  <si>
    <t>30338</t>
  </si>
  <si>
    <t>F-14 PK 6,5</t>
  </si>
  <si>
    <t>30700</t>
  </si>
  <si>
    <t>CM-4001 PK 16,3</t>
  </si>
  <si>
    <t>45260</t>
  </si>
  <si>
    <t>45917</t>
  </si>
  <si>
    <t>LA APARECIDA</t>
  </si>
  <si>
    <t>N-340 PK 681,6</t>
  </si>
  <si>
    <t>03311</t>
  </si>
  <si>
    <t>LA APARECIDA DE ORIHUELA</t>
  </si>
  <si>
    <t>N-324 PK 204,5</t>
  </si>
  <si>
    <t>18181</t>
  </si>
  <si>
    <t>CIZUR</t>
  </si>
  <si>
    <t>A-12 PK 7,3</t>
  </si>
  <si>
    <t>31190</t>
  </si>
  <si>
    <t>GAZOLAZ</t>
  </si>
  <si>
    <t>M-404 PK 31,5</t>
  </si>
  <si>
    <t>28990</t>
  </si>
  <si>
    <t>L'ARBOC</t>
  </si>
  <si>
    <t>N-340 PK 1201,8</t>
  </si>
  <si>
    <t>43720</t>
  </si>
  <si>
    <t>ARBOS</t>
  </si>
  <si>
    <t>N-323A PK 35,6</t>
  </si>
  <si>
    <t>23001</t>
  </si>
  <si>
    <t>A-319 PK 15,3</t>
  </si>
  <si>
    <t>23476</t>
  </si>
  <si>
    <t>N-150 PK 2,6</t>
  </si>
  <si>
    <t>08110</t>
  </si>
  <si>
    <t>CM-412 PK 39,7</t>
  </si>
  <si>
    <t>13170</t>
  </si>
  <si>
    <t>AVDA. FELIP PEDRELL, 168</t>
  </si>
  <si>
    <t>A-7 PK 406</t>
  </si>
  <si>
    <t>46650</t>
  </si>
  <si>
    <t>EL PONT DE SUERT</t>
  </si>
  <si>
    <t>N-230 PK 124,7</t>
  </si>
  <si>
    <t>25520</t>
  </si>
  <si>
    <t>SAN ANTONIO II</t>
  </si>
  <si>
    <t>CERVANTES ESQ. VELAZQUEZ, 44</t>
  </si>
  <si>
    <t>PM-V-211-1 PK 1,5</t>
  </si>
  <si>
    <t>07360</t>
  </si>
  <si>
    <t>A-3 PK 77,1</t>
  </si>
  <si>
    <t>16470</t>
  </si>
  <si>
    <t>CALLE ESCARPIA, 1</t>
  </si>
  <si>
    <t>41008</t>
  </si>
  <si>
    <t>A-364 PK 41,9</t>
  </si>
  <si>
    <t>41610</t>
  </si>
  <si>
    <t>A-121 PK 43,1</t>
  </si>
  <si>
    <t>50100</t>
  </si>
  <si>
    <t>N-536 PK 42,8</t>
  </si>
  <si>
    <t>32330</t>
  </si>
  <si>
    <t>A-440 PK 8</t>
  </si>
  <si>
    <t>14120</t>
  </si>
  <si>
    <t>A-4 PK 178,8</t>
  </si>
  <si>
    <t>13230</t>
  </si>
  <si>
    <t>LU-120 PK 15</t>
  </si>
  <si>
    <t>27377</t>
  </si>
  <si>
    <t>C-245 PK 2</t>
  </si>
  <si>
    <t>08860</t>
  </si>
  <si>
    <t>12100</t>
  </si>
  <si>
    <t>PM-803 PK 0,8</t>
  </si>
  <si>
    <t>PARADA DE LA MANCHA</t>
  </si>
  <si>
    <t>N-420 PK 269,1</t>
  </si>
  <si>
    <t>13640</t>
  </si>
  <si>
    <t>PM-V-101-5 PK 5,5</t>
  </si>
  <si>
    <t>07184</t>
  </si>
  <si>
    <t>A-123 PK 10,4</t>
  </si>
  <si>
    <t>50193</t>
  </si>
  <si>
    <t>EL LAGARTO</t>
  </si>
  <si>
    <t>A-316 PK 58,8</t>
  </si>
  <si>
    <t>23005</t>
  </si>
  <si>
    <t>N-IV PK 562,8</t>
  </si>
  <si>
    <t>AVDA. REAL DE PINTO, 106</t>
  </si>
  <si>
    <t>28021</t>
  </si>
  <si>
    <t>GRNE-5 PK 13,5</t>
  </si>
  <si>
    <t>18817</t>
  </si>
  <si>
    <t>PONT MAJOR, 131</t>
  </si>
  <si>
    <t>EL PI DE SANT JUST</t>
  </si>
  <si>
    <t>C-1410 PK 48,1</t>
  </si>
  <si>
    <t>25286</t>
  </si>
  <si>
    <t>OLIUS</t>
  </si>
  <si>
    <t>N-110 PK 327,6</t>
  </si>
  <si>
    <t>05580</t>
  </si>
  <si>
    <t>ENERGIA, 73-83</t>
  </si>
  <si>
    <t>08940</t>
  </si>
  <si>
    <t>C-545 PK 54,6</t>
  </si>
  <si>
    <t>15850</t>
  </si>
  <si>
    <t>N-430 PK 366,3</t>
  </si>
  <si>
    <t>N-401 PK 103,9</t>
  </si>
  <si>
    <t>45450</t>
  </si>
  <si>
    <t>LV-9022 PK 1,8</t>
  </si>
  <si>
    <t>25110</t>
  </si>
  <si>
    <t>CIENTO TRES</t>
  </si>
  <si>
    <t>A-2 PK 103</t>
  </si>
  <si>
    <t>19490</t>
  </si>
  <si>
    <t>PETROPENEDES</t>
  </si>
  <si>
    <t>BP-2121 PK 2</t>
  </si>
  <si>
    <t>08796</t>
  </si>
  <si>
    <t>PACHS</t>
  </si>
  <si>
    <t>N-634 PK 485,5</t>
  </si>
  <si>
    <t>33784</t>
  </si>
  <si>
    <t>A-8004 PK 12,32</t>
  </si>
  <si>
    <t>41310</t>
  </si>
  <si>
    <t>S-472 PK 5,3</t>
  </si>
  <si>
    <t>39340</t>
  </si>
  <si>
    <t>AS-216 PK 5,2</t>
  </si>
  <si>
    <t>33870</t>
  </si>
  <si>
    <t>ES CAMPOS</t>
  </si>
  <si>
    <t>C-501 PK 8,6</t>
  </si>
  <si>
    <t>N-121-A PK 23,7</t>
  </si>
  <si>
    <t>31798</t>
  </si>
  <si>
    <t>BINIAMAR, 16</t>
  </si>
  <si>
    <t>07008</t>
  </si>
  <si>
    <t>N-634 PK 76,4</t>
  </si>
  <si>
    <t>48240</t>
  </si>
  <si>
    <t>N-122 PK 417,7</t>
  </si>
  <si>
    <t>49810</t>
  </si>
  <si>
    <t>N-420 PK 236,6</t>
  </si>
  <si>
    <t>13250</t>
  </si>
  <si>
    <t>N-550 PK 44</t>
  </si>
  <si>
    <t>15688</t>
  </si>
  <si>
    <t>A-23 PK 563,9</t>
  </si>
  <si>
    <t>22197</t>
  </si>
  <si>
    <t>07800</t>
  </si>
  <si>
    <t>V-3065 PK 25</t>
  </si>
  <si>
    <t>46290</t>
  </si>
  <si>
    <t>N-II PK 351</t>
  </si>
  <si>
    <t>N-122 PK 271</t>
  </si>
  <si>
    <t>09400</t>
  </si>
  <si>
    <t>N-430 PK 305</t>
  </si>
  <si>
    <t>13005</t>
  </si>
  <si>
    <t>AC-840 PK 6,8</t>
  </si>
  <si>
    <t>15380</t>
  </si>
  <si>
    <t>A-150 PK 9,2</t>
  </si>
  <si>
    <t>LC-403 PK 75,4</t>
  </si>
  <si>
    <t>15841</t>
  </si>
  <si>
    <t>MITJAN LLOC</t>
  </si>
  <si>
    <t>C-721 PK 7,2</t>
  </si>
  <si>
    <t>07730</t>
  </si>
  <si>
    <t>N-340A PK 590,8</t>
  </si>
  <si>
    <t>30800</t>
  </si>
  <si>
    <t>MA-103 PK 3,1</t>
  </si>
  <si>
    <t>29750</t>
  </si>
  <si>
    <t>TARAY</t>
  </si>
  <si>
    <t>A-4 PK 145,3</t>
  </si>
  <si>
    <t>13210</t>
  </si>
  <si>
    <t>VILLARTA DE SAN JUAN</t>
  </si>
  <si>
    <t>46210</t>
  </si>
  <si>
    <t>PICAÑA</t>
  </si>
  <si>
    <t>A-4 PK 193,6</t>
  </si>
  <si>
    <t>13300</t>
  </si>
  <si>
    <t>C-61 PK 11</t>
  </si>
  <si>
    <t>08470</t>
  </si>
  <si>
    <t>SE-420 PK 8,6</t>
  </si>
  <si>
    <t>CONSTITUCION, 95</t>
  </si>
  <si>
    <t>07340</t>
  </si>
  <si>
    <t>31010</t>
  </si>
  <si>
    <t>N-332 PK 66</t>
  </si>
  <si>
    <t>03140</t>
  </si>
  <si>
    <t>CV-895 PK 5,1</t>
  </si>
  <si>
    <t>A-31 PK 191</t>
  </si>
  <si>
    <t>03630</t>
  </si>
  <si>
    <t>ALMONTE, 8</t>
  </si>
  <si>
    <t>FOGARS</t>
  </si>
  <si>
    <t>BV-5122 PK 5,1</t>
  </si>
  <si>
    <t>08495</t>
  </si>
  <si>
    <t>FOGAS DE LA SELVA</t>
  </si>
  <si>
    <t>MA-19 PK 35,6</t>
  </si>
  <si>
    <t>07630</t>
  </si>
  <si>
    <t>N-330A PK 4</t>
  </si>
  <si>
    <t>M-841 PK 3,5</t>
  </si>
  <si>
    <t>M-111 PK 4,5</t>
  </si>
  <si>
    <t>28860</t>
  </si>
  <si>
    <t>C-6316 PK 10,5</t>
  </si>
  <si>
    <t>39526</t>
  </si>
  <si>
    <t>N-611 PK 97,7</t>
  </si>
  <si>
    <t>A-306 PK 34</t>
  </si>
  <si>
    <t>23790</t>
  </si>
  <si>
    <t>A-2 PK 197,2</t>
  </si>
  <si>
    <t>50220</t>
  </si>
  <si>
    <t>A-1 PK 107</t>
  </si>
  <si>
    <t>40593</t>
  </si>
  <si>
    <t>04600</t>
  </si>
  <si>
    <t>PO-200 PK 10</t>
  </si>
  <si>
    <t>36519</t>
  </si>
  <si>
    <t>AVDA. DEL REMOLAR, 37-39</t>
  </si>
  <si>
    <t>08820</t>
  </si>
  <si>
    <t>PRAT DE LLOBREGAT</t>
  </si>
  <si>
    <t>A-4 PK 222,5</t>
  </si>
  <si>
    <t>13730</t>
  </si>
  <si>
    <t>N-541 PK 24,7</t>
  </si>
  <si>
    <t>32570</t>
  </si>
  <si>
    <t>N-120 PK 604,5</t>
  </si>
  <si>
    <t>32411</t>
  </si>
  <si>
    <t>ARIZA II</t>
  </si>
  <si>
    <t>A-2 PK 197,3</t>
  </si>
  <si>
    <t>H-101 PK 0,2</t>
  </si>
  <si>
    <t>C-615 PK 6,3</t>
  </si>
  <si>
    <t>34192</t>
  </si>
  <si>
    <t>CS-V-2001 PK 1</t>
  </si>
  <si>
    <t>27211</t>
  </si>
  <si>
    <t>N-634 PK 29,7</t>
  </si>
  <si>
    <t>MOLLERUSA</t>
  </si>
  <si>
    <t>L-200 PK 1,4</t>
  </si>
  <si>
    <t>25230</t>
  </si>
  <si>
    <t>A-387 PK 15,6</t>
  </si>
  <si>
    <t>29640</t>
  </si>
  <si>
    <t>C-641 PK 18</t>
  </si>
  <si>
    <t>27800</t>
  </si>
  <si>
    <t>M-405 PK 5,6</t>
  </si>
  <si>
    <t>28970</t>
  </si>
  <si>
    <t>HUMANES DE MADRID</t>
  </si>
  <si>
    <t>N-420 PK 266,8</t>
  </si>
  <si>
    <t>13600</t>
  </si>
  <si>
    <t>A-62 PK 41,6</t>
  </si>
  <si>
    <t>34257</t>
  </si>
  <si>
    <t>07560</t>
  </si>
  <si>
    <t>A-1 PK 149,3</t>
  </si>
  <si>
    <t>09460</t>
  </si>
  <si>
    <t>TO-431 PK 0,2</t>
  </si>
  <si>
    <t>45215</t>
  </si>
  <si>
    <t>A-31 PK 143,4</t>
  </si>
  <si>
    <t>02640</t>
  </si>
  <si>
    <t>AVDA. COMUNIDAD EUROPEA ESQUINA RAMBLA DE FRANCIA</t>
  </si>
  <si>
    <t>08917</t>
  </si>
  <si>
    <t>LA SANTA CRUZ</t>
  </si>
  <si>
    <t>H-151 PK 1</t>
  </si>
  <si>
    <t>21560</t>
  </si>
  <si>
    <t>PAYMOGO</t>
  </si>
  <si>
    <t>CARRETERA SANTA COLOMA, 71 - SECTOR INDUSTRIAL CAN XIRGU</t>
  </si>
  <si>
    <t>17005</t>
  </si>
  <si>
    <t>AVDA. PRIMERO DE MAYO, PARCELA 7, POLIGONO 1-A</t>
  </si>
  <si>
    <t>30006</t>
  </si>
  <si>
    <t>A LAGOA</t>
  </si>
  <si>
    <t>C-552 PK 65,8</t>
  </si>
  <si>
    <t>15120</t>
  </si>
  <si>
    <t>VIMIANZO</t>
  </si>
  <si>
    <t>ALCALDE CABALLERO, 60 - JUAN DE LA CIERVA, 60</t>
  </si>
  <si>
    <t>PASEO DE ECHEGARAY Y CABALLERO, 99</t>
  </si>
  <si>
    <t>50001</t>
  </si>
  <si>
    <t>CAMINO DE LAS TORRES, 2</t>
  </si>
  <si>
    <t>50008</t>
  </si>
  <si>
    <t>MARIA ZAMBRANO, 74</t>
  </si>
  <si>
    <t>50018</t>
  </si>
  <si>
    <t>POLIGONO INDUSTRIAL DE MALPICA-C/A, NUMERO 3</t>
  </si>
  <si>
    <t>50016</t>
  </si>
  <si>
    <t>A-381 PK 1,5</t>
  </si>
  <si>
    <t>11406</t>
  </si>
  <si>
    <t>EX-392 PK 16</t>
  </si>
  <si>
    <t>10400</t>
  </si>
  <si>
    <t>N-432 PK 431</t>
  </si>
  <si>
    <t>18015</t>
  </si>
  <si>
    <t>BV-2001 PK 0,2</t>
  </si>
  <si>
    <t>LP-7041 PK 6,9</t>
  </si>
  <si>
    <t>25182</t>
  </si>
  <si>
    <t>A-5 PK 85,1</t>
  </si>
  <si>
    <t>45530</t>
  </si>
  <si>
    <t>A-30 PK 413,9</t>
  </si>
  <si>
    <t>30155</t>
  </si>
  <si>
    <t>28821</t>
  </si>
  <si>
    <t>EX-108 PK 65,5</t>
  </si>
  <si>
    <t>10691</t>
  </si>
  <si>
    <t>N-340 PK 1078,5</t>
  </si>
  <si>
    <t>43870</t>
  </si>
  <si>
    <t>LA TORDERA</t>
  </si>
  <si>
    <t>C-32-A PK 129,8</t>
  </si>
  <si>
    <t>08389</t>
  </si>
  <si>
    <t>MU-611 PK 3</t>
  </si>
  <si>
    <t>30169</t>
  </si>
  <si>
    <t>C-17 PK 50</t>
  </si>
  <si>
    <t>08551</t>
  </si>
  <si>
    <t>CR-601 PK 0,7</t>
  </si>
  <si>
    <t>03600</t>
  </si>
  <si>
    <t>ANOETA</t>
  </si>
  <si>
    <t>PASEO DOCTOR BEGUIRISTAIN, 75</t>
  </si>
  <si>
    <t>20014</t>
  </si>
  <si>
    <t>SAN SEBASTIAN</t>
  </si>
  <si>
    <t>M-615 PK 1</t>
  </si>
  <si>
    <t>28411</t>
  </si>
  <si>
    <t>CALZADA DE MEDINA, 81</t>
  </si>
  <si>
    <t>37004</t>
  </si>
  <si>
    <t>ALAMEDA BARRIGUILLA</t>
  </si>
  <si>
    <t>PROSPER MERIMEE, 21</t>
  </si>
  <si>
    <t>29007</t>
  </si>
  <si>
    <t>AVDA. JUAN PABLO II, 98</t>
  </si>
  <si>
    <t>18013</t>
  </si>
  <si>
    <t>AVDA. FRANCISCO MONTENEGRO, 30</t>
  </si>
  <si>
    <t>21001</t>
  </si>
  <si>
    <t>S-436 PK 4,8</t>
  </si>
  <si>
    <t>39600</t>
  </si>
  <si>
    <t>V-15 PK 1,9</t>
  </si>
  <si>
    <t>46013</t>
  </si>
  <si>
    <t>N-330 PK 488,2</t>
  </si>
  <si>
    <t>50410</t>
  </si>
  <si>
    <t>LA CAMPANETA</t>
  </si>
  <si>
    <t>A-304 PK 5,5</t>
  </si>
  <si>
    <t>03314</t>
  </si>
  <si>
    <t>N-340 PK 542,4</t>
  </si>
  <si>
    <t>CP-3612 PK 1</t>
  </si>
  <si>
    <t>15590</t>
  </si>
  <si>
    <t>AUTOVIA MERIDA</t>
  </si>
  <si>
    <t>A-5 PK 351,5</t>
  </si>
  <si>
    <t>08908</t>
  </si>
  <si>
    <t>HOSPITALET DE LLOBREGAT</t>
  </si>
  <si>
    <t>M-405 PK 5,9</t>
  </si>
  <si>
    <t>GREGORIO HERNANDEZ, 7</t>
  </si>
  <si>
    <t>15011</t>
  </si>
  <si>
    <t>M-208 PK 3,8</t>
  </si>
  <si>
    <t>28891</t>
  </si>
  <si>
    <t>C-3223 PK 16</t>
  </si>
  <si>
    <t>AVDA. PAIS VALENCIA, 38</t>
  </si>
  <si>
    <t>SEVILLA, 133</t>
  </si>
  <si>
    <t>SELVA DEL CAMP</t>
  </si>
  <si>
    <t>C-14 PK 15,8</t>
  </si>
  <si>
    <t>43470</t>
  </si>
  <si>
    <t>LA SELVA DEL CAMPO</t>
  </si>
  <si>
    <t>N-I PK 341,6</t>
  </si>
  <si>
    <t>01195</t>
  </si>
  <si>
    <t>N-340A PK 753,7</t>
  </si>
  <si>
    <t>03110</t>
  </si>
  <si>
    <t>N-342 PK 354,6</t>
  </si>
  <si>
    <t>18800</t>
  </si>
  <si>
    <t>N-640 PK 46</t>
  </si>
  <si>
    <t>27240</t>
  </si>
  <si>
    <t>VILAVELLA</t>
  </si>
  <si>
    <t>N-525 PK 118,7</t>
  </si>
  <si>
    <t>32549</t>
  </si>
  <si>
    <t>N-403 PK 2,5</t>
  </si>
  <si>
    <t>45004</t>
  </si>
  <si>
    <t>C-31 PK 191,8</t>
  </si>
  <si>
    <t>EL CERRO</t>
  </si>
  <si>
    <t>A-1 PK 214,1</t>
  </si>
  <si>
    <t>09330</t>
  </si>
  <si>
    <t>CERRO CABAÑA I</t>
  </si>
  <si>
    <t>A-3 PK 7,1</t>
  </si>
  <si>
    <t>28031</t>
  </si>
  <si>
    <t>M-512 PK 10,1</t>
  </si>
  <si>
    <t>28294</t>
  </si>
  <si>
    <t>C-550 PK 25</t>
  </si>
  <si>
    <t>15930</t>
  </si>
  <si>
    <t>N-344A PK 69,1</t>
  </si>
  <si>
    <t>30520</t>
  </si>
  <si>
    <t>EL VALLE DE TORIJA</t>
  </si>
  <si>
    <t>A-2 PK 70,5</t>
  </si>
  <si>
    <t>19190</t>
  </si>
  <si>
    <t>N-IIIA PK 273</t>
  </si>
  <si>
    <t>46340</t>
  </si>
  <si>
    <t>N-340 PK 134</t>
  </si>
  <si>
    <t>N-211 PK 227,8</t>
  </si>
  <si>
    <t>44570</t>
  </si>
  <si>
    <t>CAMPOAMOR I</t>
  </si>
  <si>
    <t>N-332 PK 46</t>
  </si>
  <si>
    <t>03189</t>
  </si>
  <si>
    <t>30012</t>
  </si>
  <si>
    <t>15190</t>
  </si>
  <si>
    <t>CL-601 PK 35,9</t>
  </si>
  <si>
    <t>47164</t>
  </si>
  <si>
    <t>C-245 PK 5</t>
  </si>
  <si>
    <t>08850</t>
  </si>
  <si>
    <t>C-330 PK 65,3</t>
  </si>
  <si>
    <t>CM-412 PK 37</t>
  </si>
  <si>
    <t>N-340 PK 1168</t>
  </si>
  <si>
    <t>43007</t>
  </si>
  <si>
    <t>M-507 PK 27,5</t>
  </si>
  <si>
    <t>28630</t>
  </si>
  <si>
    <t>EX-203 PK 47,8</t>
  </si>
  <si>
    <t>10450</t>
  </si>
  <si>
    <t>M-507 PK 16,8</t>
  </si>
  <si>
    <t>28620</t>
  </si>
  <si>
    <t>N-332 PK 139,2</t>
  </si>
  <si>
    <t>03570</t>
  </si>
  <si>
    <t>PM-820 PK 1,2</t>
  </si>
  <si>
    <t>07860</t>
  </si>
  <si>
    <t>SAN FRANCISCO DE FORMENTERA</t>
  </si>
  <si>
    <t>PRUVIA</t>
  </si>
  <si>
    <t>AS-18 PK 9,2</t>
  </si>
  <si>
    <t>33192</t>
  </si>
  <si>
    <t>N-111 PK 229,1</t>
  </si>
  <si>
    <t>42005</t>
  </si>
  <si>
    <t>A-471 PK 13,7</t>
  </si>
  <si>
    <t>41730</t>
  </si>
  <si>
    <t>CV-905 PK 10,1</t>
  </si>
  <si>
    <t>N-525 PK 254,3</t>
  </si>
  <si>
    <t>32100</t>
  </si>
  <si>
    <t>A-471 PK 13,1</t>
  </si>
  <si>
    <t>N-122 PK 155,4</t>
  </si>
  <si>
    <t>42001</t>
  </si>
  <si>
    <t>CARABANCHEL</t>
  </si>
  <si>
    <t>AVDA. DE LOS POBLADOS, 118</t>
  </si>
  <si>
    <t>28025</t>
  </si>
  <si>
    <t>CTRA. N-121, KM. 9,400 (DIRECC. TAFALLA)</t>
  </si>
  <si>
    <t>31191</t>
  </si>
  <si>
    <t>C-543 PK 24,6</t>
  </si>
  <si>
    <t>15200</t>
  </si>
  <si>
    <t>SOS</t>
  </si>
  <si>
    <t>N-340 PK 972,2</t>
  </si>
  <si>
    <t>12006</t>
  </si>
  <si>
    <t>C-550 PK 14,1</t>
  </si>
  <si>
    <t>15293</t>
  </si>
  <si>
    <t>N-620A PK 42,9</t>
  </si>
  <si>
    <t>N-601A PK 177</t>
  </si>
  <si>
    <t>47151</t>
  </si>
  <si>
    <t>N-323A PK 37</t>
  </si>
  <si>
    <t>N-550 PK 76,4</t>
  </si>
  <si>
    <t>15980</t>
  </si>
  <si>
    <t>C-340 PK 51,3</t>
  </si>
  <si>
    <t>18128</t>
  </si>
  <si>
    <t>EX-207 PK 5,6</t>
  </si>
  <si>
    <t>10900</t>
  </si>
  <si>
    <t>AVDA. MONTE IGUELDO, 108</t>
  </si>
  <si>
    <t>28053</t>
  </si>
  <si>
    <t>CM-412 PK 111,9</t>
  </si>
  <si>
    <t>13391</t>
  </si>
  <si>
    <t>A-8005 PK 1,7</t>
  </si>
  <si>
    <t>41015</t>
  </si>
  <si>
    <t>MOLINS DE REI, 135-137</t>
  </si>
  <si>
    <t>08205</t>
  </si>
  <si>
    <t>SA-300 PK 9,5</t>
  </si>
  <si>
    <t>37185</t>
  </si>
  <si>
    <t>33212</t>
  </si>
  <si>
    <t>A-225 PK 18,4</t>
  </si>
  <si>
    <t>44566</t>
  </si>
  <si>
    <t>N-502 PK 311</t>
  </si>
  <si>
    <t>13400</t>
  </si>
  <si>
    <t>N-322 PK 180</t>
  </si>
  <si>
    <t>23300</t>
  </si>
  <si>
    <t>N-230 PK 49,7</t>
  </si>
  <si>
    <t>22589</t>
  </si>
  <si>
    <t>N-630 PK 423,9</t>
  </si>
  <si>
    <t>37720</t>
  </si>
  <si>
    <t>C-31 PK 195,5</t>
  </si>
  <si>
    <t>08907</t>
  </si>
  <si>
    <t>C-531 PK 40,3</t>
  </si>
  <si>
    <t>32811</t>
  </si>
  <si>
    <t>N-322A PK 349</t>
  </si>
  <si>
    <t>02004</t>
  </si>
  <si>
    <t>A-382 PK 16,7</t>
  </si>
  <si>
    <t>11620</t>
  </si>
  <si>
    <t>SANTA PERPETUA DE MOGODA</t>
  </si>
  <si>
    <t>B-140 PK 5</t>
  </si>
  <si>
    <t>CL-631 PK 24,1</t>
  </si>
  <si>
    <t>24450</t>
  </si>
  <si>
    <t>LA RECTA</t>
  </si>
  <si>
    <t>N-430 PK 371,1</t>
  </si>
  <si>
    <t>N-340A PK 438,5</t>
  </si>
  <si>
    <t>04002</t>
  </si>
  <si>
    <t>CL-505 PK 63</t>
  </si>
  <si>
    <t>05240</t>
  </si>
  <si>
    <t>N-340 PK 308,5</t>
  </si>
  <si>
    <t>18690</t>
  </si>
  <si>
    <t>CV-20 PK 2,3</t>
  </si>
  <si>
    <t>QUESADA</t>
  </si>
  <si>
    <t>N-323A PK 33,7</t>
  </si>
  <si>
    <t>PASSEIG DE VALLDAURA, 210-212</t>
  </si>
  <si>
    <t>08042</t>
  </si>
  <si>
    <t>A-62 PK 138,6</t>
  </si>
  <si>
    <t>47130</t>
  </si>
  <si>
    <t>SERVICIOS DIEZ</t>
  </si>
  <si>
    <t>M-506 PK 28,8</t>
  </si>
  <si>
    <t>28330</t>
  </si>
  <si>
    <t>SAN MARTIN DE LA VEGA</t>
  </si>
  <si>
    <t>AP-7 PK 86</t>
  </si>
  <si>
    <t>17412</t>
  </si>
  <si>
    <t>MASSANET DE LA SELVA</t>
  </si>
  <si>
    <t>CTRA. VIEJA DE BUÑOLA, 15</t>
  </si>
  <si>
    <t>07009</t>
  </si>
  <si>
    <t>P.D. CLUB DE MAR</t>
  </si>
  <si>
    <t>PASEO MARITIMO</t>
  </si>
  <si>
    <t>07660</t>
  </si>
  <si>
    <t>C-16 PK 114</t>
  </si>
  <si>
    <t>08694</t>
  </si>
  <si>
    <t>N-332 PK 135,5</t>
  </si>
  <si>
    <t>08011</t>
  </si>
  <si>
    <t>N-322 PK 454</t>
  </si>
  <si>
    <t>46354</t>
  </si>
  <si>
    <t>GE-533 PK 0,3</t>
  </si>
  <si>
    <t>A-304 PK 0,4</t>
  </si>
  <si>
    <t>03300</t>
  </si>
  <si>
    <t>CV-10 PK 8,7</t>
  </si>
  <si>
    <t>12190</t>
  </si>
  <si>
    <t>CAMINO DE LOS REYES, 201</t>
  </si>
  <si>
    <t>07010</t>
  </si>
  <si>
    <t>CU-211 PK 25,9</t>
  </si>
  <si>
    <t>16535</t>
  </si>
  <si>
    <t>PO-552 PK 63,4</t>
  </si>
  <si>
    <t>36740</t>
  </si>
  <si>
    <t>PM-602 PK 12</t>
  </si>
  <si>
    <t>N-541 PK 85,5</t>
  </si>
  <si>
    <t>36120</t>
  </si>
  <si>
    <t>ES. MONTEPIEDRA</t>
  </si>
  <si>
    <t>A-202 PK 25,3</t>
  </si>
  <si>
    <t>50210</t>
  </si>
  <si>
    <t>M-501 PK 0,8</t>
  </si>
  <si>
    <t>28660</t>
  </si>
  <si>
    <t>EX-104 PK 0,6</t>
  </si>
  <si>
    <t>A-92 PK 181,1</t>
  </si>
  <si>
    <t>18300</t>
  </si>
  <si>
    <t>AVDA. DE LOGROÑO, 233</t>
  </si>
  <si>
    <t>28042</t>
  </si>
  <si>
    <t>N-332 PK 104,9</t>
  </si>
  <si>
    <t>03016</t>
  </si>
  <si>
    <t>N-340A PK 766,1</t>
  </si>
  <si>
    <t>03100</t>
  </si>
  <si>
    <t>JIJONA</t>
  </si>
  <si>
    <t>28830</t>
  </si>
  <si>
    <t>AVDA. BIENVENIDOS, 36</t>
  </si>
  <si>
    <t>JOSE ANSELMO CLAVE ESQUINA PASEO DE CIRCUNVALACION</t>
  </si>
  <si>
    <t>07703</t>
  </si>
  <si>
    <t>GRANADA, 20-24</t>
  </si>
  <si>
    <t>CUESTA DEL CARRAJETE, 2</t>
  </si>
  <si>
    <t>44003</t>
  </si>
  <si>
    <t>GASERANS</t>
  </si>
  <si>
    <t>C-35 PK 66,7</t>
  </si>
  <si>
    <t>17451</t>
  </si>
  <si>
    <t>SAN FELIU BUSALLEU</t>
  </si>
  <si>
    <t>33401</t>
  </si>
  <si>
    <t>BARRIO IBARRETA, S/N - MERCABILBAO</t>
  </si>
  <si>
    <t>48970</t>
  </si>
  <si>
    <t>PAGOZELAI-II</t>
  </si>
  <si>
    <t>A-15 PK 134,4</t>
  </si>
  <si>
    <t>31877</t>
  </si>
  <si>
    <t>PAGOZELAI-I</t>
  </si>
  <si>
    <t>A-15 PK 134,5</t>
  </si>
  <si>
    <t>POLIGONO INDUSTRIAL MOLI D'EN SERRA, S/N</t>
  </si>
  <si>
    <t>43710</t>
  </si>
  <si>
    <t>C-711 PK 16,5</t>
  </si>
  <si>
    <t>07110</t>
  </si>
  <si>
    <t>BUÑOLA</t>
  </si>
  <si>
    <t>CATARROJA</t>
  </si>
  <si>
    <t>POLIGONO INDUSTRIAL EL BONY CALLE 31, PARCELAS 35 Y 36</t>
  </si>
  <si>
    <t>46470</t>
  </si>
  <si>
    <t>N-620A PK 129</t>
  </si>
  <si>
    <t>47195</t>
  </si>
  <si>
    <t>MUELLE NORTE, S/N DARSENA PESQUERA</t>
  </si>
  <si>
    <t>MONTEPINAR</t>
  </si>
  <si>
    <t>AV-4141 PK 0,9</t>
  </si>
  <si>
    <t>VILAFRANCA I</t>
  </si>
  <si>
    <t>C-715 PK 42,5</t>
  </si>
  <si>
    <t>07250</t>
  </si>
  <si>
    <t>VILLAFRANCA DE BONANY</t>
  </si>
  <si>
    <t>A-4 PK 393,5</t>
  </si>
  <si>
    <t>CTM-SEVILLA</t>
  </si>
  <si>
    <t>POLIGONO INDUSTRIAL LA NEGRILLA, PERITO, 6 -  PARCELA 5-7</t>
  </si>
  <si>
    <t>41006</t>
  </si>
  <si>
    <t>EL ARCO DE MARBELLA</t>
  </si>
  <si>
    <t>N-340A PK 182,5</t>
  </si>
  <si>
    <t>A-1 PK 152,8</t>
  </si>
  <si>
    <t>09471</t>
  </si>
  <si>
    <t>N-232 PK 229,2</t>
  </si>
  <si>
    <t>50720</t>
  </si>
  <si>
    <t>CARTUJA BAJA</t>
  </si>
  <si>
    <t>PUERTO REAL, S/N - ZONA FRANCA CADIZ</t>
  </si>
  <si>
    <t>11012</t>
  </si>
  <si>
    <t>AVDA. DEMOCRACIA, 41</t>
  </si>
  <si>
    <t>28032</t>
  </si>
  <si>
    <t>AVDA. DEMOCRACIA, 62</t>
  </si>
  <si>
    <t>A-3 PK 161,9</t>
  </si>
  <si>
    <t>16623</t>
  </si>
  <si>
    <t>A-3 PK 162,1</t>
  </si>
  <si>
    <t>N-II PK 329,6</t>
  </si>
  <si>
    <t>CIENTO TRES-2</t>
  </si>
  <si>
    <t>A-2 PK 101,8</t>
  </si>
  <si>
    <t>A-353 PK 33,5</t>
  </si>
  <si>
    <t>TP-2021 PK 12</t>
  </si>
  <si>
    <t>43764</t>
  </si>
  <si>
    <t>A-480 PK 24,1</t>
  </si>
  <si>
    <t>11550</t>
  </si>
  <si>
    <t>CORAZON DE MARIA</t>
  </si>
  <si>
    <t>CORAZON DE MARIA, FRENTE AL NUMERO 11</t>
  </si>
  <si>
    <t>VILAFRANCA II</t>
  </si>
  <si>
    <t>07520</t>
  </si>
  <si>
    <t>AVDA. TENERIFE, 14  (JUNTO A DRAGADOS)</t>
  </si>
  <si>
    <t>28709</t>
  </si>
  <si>
    <t>A-4 PK 306,4</t>
  </si>
  <si>
    <t>23730</t>
  </si>
  <si>
    <t>LA CAROLINA I</t>
  </si>
  <si>
    <t>A-4 PK 265</t>
  </si>
  <si>
    <t>A-38 PK 8,3</t>
  </si>
  <si>
    <t>10190</t>
  </si>
  <si>
    <t>VIA B-3, PENETRACION AL PUERTO, PK 1.4</t>
  </si>
  <si>
    <t>30202</t>
  </si>
  <si>
    <t>A-432 PK 45,5</t>
  </si>
  <si>
    <t>41370</t>
  </si>
  <si>
    <t>M-311 PK 19,4</t>
  </si>
  <si>
    <t>28370</t>
  </si>
  <si>
    <t>AVENIDA DOCTOR ZAMENHOF, S/N</t>
  </si>
  <si>
    <t>17800</t>
  </si>
  <si>
    <t>A-4 PK 460,9</t>
  </si>
  <si>
    <t>41400</t>
  </si>
  <si>
    <t>LC-444 PK 0,8</t>
  </si>
  <si>
    <t>15863</t>
  </si>
  <si>
    <t>C. BEMPOSTA, POLIGONO INDUSTRIAL ALLENDEDUERO, PARCELA 145 R-97</t>
  </si>
  <si>
    <t>A-35 PK 655,6</t>
  </si>
  <si>
    <t>46260</t>
  </si>
  <si>
    <t>AVDA. CATALUÑA, 208-210</t>
  </si>
  <si>
    <t>43877</t>
  </si>
  <si>
    <t>16444</t>
  </si>
  <si>
    <t>N-634 PK 658,9</t>
  </si>
  <si>
    <t>15310</t>
  </si>
  <si>
    <t>BV-5301 PK 3</t>
  </si>
  <si>
    <t>08460</t>
  </si>
  <si>
    <t>SANTA MARIA DE PALAUTORDERA</t>
  </si>
  <si>
    <t>A-8 PK 194</t>
  </si>
  <si>
    <t>39794</t>
  </si>
  <si>
    <t>N-340A PK 653,3</t>
  </si>
  <si>
    <t>30820</t>
  </si>
  <si>
    <t>A-316 PK 104,5</t>
  </si>
  <si>
    <t>23660</t>
  </si>
  <si>
    <t>PETROLNOU</t>
  </si>
  <si>
    <t>TRAVESIA INDUSTRIAL, 83-85</t>
  </si>
  <si>
    <t>N-II PK 670</t>
  </si>
  <si>
    <t>08397</t>
  </si>
  <si>
    <t>A-1503 PK 20,1</t>
  </si>
  <si>
    <t>50250</t>
  </si>
  <si>
    <t>N-340 PK 950</t>
  </si>
  <si>
    <t>12592</t>
  </si>
  <si>
    <t>MIGUEL ESTEBAN</t>
  </si>
  <si>
    <t>CM-310 PK 18,6</t>
  </si>
  <si>
    <t>45830</t>
  </si>
  <si>
    <t>16600</t>
  </si>
  <si>
    <t>A-44 PK 57,4</t>
  </si>
  <si>
    <t>23191</t>
  </si>
  <si>
    <t>RONDA EUROPA, S/N - CRUCE CON RONDA IBERICA</t>
  </si>
  <si>
    <t>08800</t>
  </si>
  <si>
    <t>VILLANUEVA Y GELTRU</t>
  </si>
  <si>
    <t>36214</t>
  </si>
  <si>
    <t>MUTILVA-I</t>
  </si>
  <si>
    <t>N-135 PK 5,6</t>
  </si>
  <si>
    <t>31192</t>
  </si>
  <si>
    <t>MUTILVA-II</t>
  </si>
  <si>
    <t>N-330 PK 664,1</t>
  </si>
  <si>
    <t>22880</t>
  </si>
  <si>
    <t>CANFRANC- ESTACION</t>
  </si>
  <si>
    <t>C-327 PK 103,9</t>
  </si>
  <si>
    <t>29010</t>
  </si>
  <si>
    <t>N-340A PK 673</t>
  </si>
  <si>
    <t>30163</t>
  </si>
  <si>
    <t>VEGA DE PAS</t>
  </si>
  <si>
    <t>S-564 PK 11</t>
  </si>
  <si>
    <t>39685</t>
  </si>
  <si>
    <t>ES AS NEVES</t>
  </si>
  <si>
    <t>CP-9006 PK 0,4</t>
  </si>
  <si>
    <t>36860</t>
  </si>
  <si>
    <t>PUENTEAREAS</t>
  </si>
  <si>
    <t>LA FELGUERA</t>
  </si>
  <si>
    <t>AVDA. DE LA REGUERA, S/N</t>
  </si>
  <si>
    <t>33930</t>
  </si>
  <si>
    <t>N-340 PK 106</t>
  </si>
  <si>
    <t>11207</t>
  </si>
  <si>
    <t>CASA GRANDE</t>
  </si>
  <si>
    <t>VIAL RONDA ESQ. C/ JUAN MATEO - P. I. CASAGRANDE</t>
  </si>
  <si>
    <t>03183</t>
  </si>
  <si>
    <t>M-40, PK 7.4 - ACCESO SUR AL CAMPO DE LAS NACIONES, 2</t>
  </si>
  <si>
    <t>PABLO GARNICA, 15</t>
  </si>
  <si>
    <t>APARCADOLORES</t>
  </si>
  <si>
    <t>MU-602 PK 0,5</t>
  </si>
  <si>
    <t>30310</t>
  </si>
  <si>
    <t>N-340 PK 855</t>
  </si>
  <si>
    <t>46270</t>
  </si>
  <si>
    <t>GURB-I</t>
  </si>
  <si>
    <t>C-25 PK 174,6</t>
  </si>
  <si>
    <t>08503</t>
  </si>
  <si>
    <t>GURB-II</t>
  </si>
  <si>
    <t>A-624 PK 37,8</t>
  </si>
  <si>
    <t>01450</t>
  </si>
  <si>
    <t>03680</t>
  </si>
  <si>
    <t>N-232A PK 250,9</t>
  </si>
  <si>
    <t>50180</t>
  </si>
  <si>
    <t>TORREGAS</t>
  </si>
  <si>
    <t>APOLO, 107 - AVDA. CORTES VALENCIANAS ESQ. PASCUAL FLORES</t>
  </si>
  <si>
    <t>A-2 PK 302,6</t>
  </si>
  <si>
    <t>50198</t>
  </si>
  <si>
    <t>N-611 PK 10,9</t>
  </si>
  <si>
    <t>34003</t>
  </si>
  <si>
    <t>AZAÑA</t>
  </si>
  <si>
    <t>MANUEL AZAÑA, 5</t>
  </si>
  <si>
    <t>07006</t>
  </si>
  <si>
    <t>AEROPUERTO - LADO AIRE</t>
  </si>
  <si>
    <t>AEROPUERTO DE BARCELONA, LADO AIRE</t>
  </si>
  <si>
    <t>08830</t>
  </si>
  <si>
    <t>SAN BAUDILIO DE LLOBREGAT</t>
  </si>
  <si>
    <t>TRUJILLO-I</t>
  </si>
  <si>
    <t>A-5 PK 245,2</t>
  </si>
  <si>
    <t>10200</t>
  </si>
  <si>
    <t>TRUJILLO-II</t>
  </si>
  <si>
    <t>A-5 PK 244,6</t>
  </si>
  <si>
    <t>N-332 PK 232,9</t>
  </si>
  <si>
    <t>46770</t>
  </si>
  <si>
    <t>JARACO</t>
  </si>
  <si>
    <t>N-332 PK 232,8</t>
  </si>
  <si>
    <t>PUERTO PESQUERO LA ATUNARA</t>
  </si>
  <si>
    <t>MUELLE PESQUERO PUERTO SAN PEDRO DEL PINATAR, S/N</t>
  </si>
  <si>
    <t>N-430A PK 587,1</t>
  </si>
  <si>
    <t>ALHAURIN</t>
  </si>
  <si>
    <t>MA-307 PK 2</t>
  </si>
  <si>
    <t>29130</t>
  </si>
  <si>
    <t>ALHAURIN DE LA TORRE</t>
  </si>
  <si>
    <t>A-5 PK 367,4</t>
  </si>
  <si>
    <t>06498</t>
  </si>
  <si>
    <t>LOBON</t>
  </si>
  <si>
    <t>N-634 PK 121</t>
  </si>
  <si>
    <t>48510</t>
  </si>
  <si>
    <t>VALLE DE TRAPAGA</t>
  </si>
  <si>
    <t>POLIGINO INDUSTRIAL LA CHACARA, PARCELA 3</t>
  </si>
  <si>
    <t>06350</t>
  </si>
  <si>
    <t>A-62 PK 177,8</t>
  </si>
  <si>
    <t>47511</t>
  </si>
  <si>
    <t>ESCURIAL</t>
  </si>
  <si>
    <t>A-5 PK 288</t>
  </si>
  <si>
    <t>10133</t>
  </si>
  <si>
    <t>A-357 PK 50,1</t>
  </si>
  <si>
    <t>M-509 PK 4,4</t>
  </si>
  <si>
    <t>28229</t>
  </si>
  <si>
    <t>07608</t>
  </si>
  <si>
    <t>32695</t>
  </si>
  <si>
    <t>AVDA. EMPERADOR CARLOS V, S/N</t>
  </si>
  <si>
    <t>18007</t>
  </si>
  <si>
    <t>CONSTANTI</t>
  </si>
  <si>
    <t>TV-7211 PK 9</t>
  </si>
  <si>
    <t>43120</t>
  </si>
  <si>
    <t>A-6 PK 326</t>
  </si>
  <si>
    <t>24700</t>
  </si>
  <si>
    <t>A-44 PK 123,6</t>
  </si>
  <si>
    <t>18210</t>
  </si>
  <si>
    <t>N-IVA PK 654</t>
  </si>
  <si>
    <t>RONDA SANTA EULALIA, 33 - AUTOVIA DEL BAIX LLOBREGAT, PK 4.0</t>
  </si>
  <si>
    <t>08780</t>
  </si>
  <si>
    <t>N-550 PK 130,9</t>
  </si>
  <si>
    <t>36141</t>
  </si>
  <si>
    <t>C/ YUNQUE ESQ. AVDA. INDUSTRIA - PLAZA DEL ABACO, S/N</t>
  </si>
  <si>
    <t>28760</t>
  </si>
  <si>
    <t>ES PUERTO SEVILLA</t>
  </si>
  <si>
    <t>SE-30 PK 12</t>
  </si>
  <si>
    <t>41011</t>
  </si>
  <si>
    <t>11520</t>
  </si>
  <si>
    <t>AVDA. MARQUES DE LA VEGA DE ARMIJO, S/N</t>
  </si>
  <si>
    <t>14550</t>
  </si>
  <si>
    <t>LOPE DE VEGA, 125-139</t>
  </si>
  <si>
    <t>08018</t>
  </si>
  <si>
    <t>AEROPUERTO DE MENORCA</t>
  </si>
  <si>
    <t>07701</t>
  </si>
  <si>
    <t>POLIGONO INDUSTRIAL PINARES LLANOS, C/ CARPINTEROS, 2</t>
  </si>
  <si>
    <t>28670</t>
  </si>
  <si>
    <t>URBANIZACION MONTEPORREIRO, PARCELA CC-2 - C/ ITALIA CON C/ FRANCIA</t>
  </si>
  <si>
    <t>36162</t>
  </si>
  <si>
    <t>GLORIETA MARIANO SALVADOR MAELLA, S/N</t>
  </si>
  <si>
    <t>28035</t>
  </si>
  <si>
    <t>A-3 PK 43,3</t>
  </si>
  <si>
    <t>28540</t>
  </si>
  <si>
    <t>ALBERIQUE II</t>
  </si>
  <si>
    <t>A-35 PK 670,9</t>
  </si>
  <si>
    <t>M-610 PK 19,8</t>
  </si>
  <si>
    <t>28792</t>
  </si>
  <si>
    <t>CV-18 PK 7</t>
  </si>
  <si>
    <t>12530</t>
  </si>
  <si>
    <t>HIGINIO CARROCERA, S/N - BARROS</t>
  </si>
  <si>
    <t>33900</t>
  </si>
  <si>
    <t>N-III PK 167,5</t>
  </si>
  <si>
    <t>16730</t>
  </si>
  <si>
    <t>N-121 PK 39,9</t>
  </si>
  <si>
    <t>31390</t>
  </si>
  <si>
    <t>TORRECABALLEROS</t>
  </si>
  <si>
    <t>N-110 PK 182,6</t>
  </si>
  <si>
    <t>40160</t>
  </si>
  <si>
    <t>N-121 PK 4</t>
  </si>
  <si>
    <t>ORELLANA PERDIZ</t>
  </si>
  <si>
    <t>A-4 PK 266,2</t>
  </si>
  <si>
    <t>EX-106 PK 1,4</t>
  </si>
  <si>
    <t>10100</t>
  </si>
  <si>
    <t>A-2 PK 489,5</t>
  </si>
  <si>
    <t>25245</t>
  </si>
  <si>
    <t>VILASANA</t>
  </si>
  <si>
    <t>N-330 PK 505,5</t>
  </si>
  <si>
    <t>50015</t>
  </si>
  <si>
    <t>A-62 PK 225</t>
  </si>
  <si>
    <t>37427</t>
  </si>
  <si>
    <t>N-621 PK 2,4</t>
  </si>
  <si>
    <t>24007</t>
  </si>
  <si>
    <t>A-2 PK 485,1</t>
  </si>
  <si>
    <t>25244</t>
  </si>
  <si>
    <t>N-VIA PK 405</t>
  </si>
  <si>
    <t>24500</t>
  </si>
  <si>
    <t>N-120 PK 520,8</t>
  </si>
  <si>
    <t>27400</t>
  </si>
  <si>
    <t>P.D. PUNTA UMBRIA</t>
  </si>
  <si>
    <t>MUELLE DEPORTIVO PUNTA UMBRIA, S/N - AVDA. LA RIA, S/N</t>
  </si>
  <si>
    <t>N-432 PK 15,9</t>
  </si>
  <si>
    <t>06170</t>
  </si>
  <si>
    <t>LA VEGUILLA I</t>
  </si>
  <si>
    <t>A-231 PK 49</t>
  </si>
  <si>
    <t>LA VEGUILLA II</t>
  </si>
  <si>
    <t>A-231 PK 50</t>
  </si>
  <si>
    <t>A-7 PK 580,3</t>
  </si>
  <si>
    <t>30890</t>
  </si>
  <si>
    <t>A-3 PK 283</t>
  </si>
  <si>
    <t>M-103 PK 6,2</t>
  </si>
  <si>
    <t>28863</t>
  </si>
  <si>
    <t>A-6 PK 350</t>
  </si>
  <si>
    <t>24360</t>
  </si>
  <si>
    <t>SARASATE, S/N</t>
  </si>
  <si>
    <t>28220</t>
  </si>
  <si>
    <t>TRIGUEROS I</t>
  </si>
  <si>
    <t>A-49 PK 70,3</t>
  </si>
  <si>
    <t>21620</t>
  </si>
  <si>
    <t>TRIGUEROS II</t>
  </si>
  <si>
    <t>A-49 PK 71,3</t>
  </si>
  <si>
    <t>C-17 PK 18</t>
  </si>
  <si>
    <t>08150</t>
  </si>
  <si>
    <t>28430</t>
  </si>
  <si>
    <t>A-45 PK 147,8</t>
  </si>
  <si>
    <t>29160</t>
  </si>
  <si>
    <t>N-601 PK 184,4</t>
  </si>
  <si>
    <t>47008</t>
  </si>
  <si>
    <t>17469</t>
  </si>
  <si>
    <t>N-332 PK 47</t>
  </si>
  <si>
    <t>AVDA. EUROPA, 13-15 - CENTRO COMERCIAL LA MORALEJA</t>
  </si>
  <si>
    <t>28108</t>
  </si>
  <si>
    <t>29620</t>
  </si>
  <si>
    <t>CTRA. RIBESALBES, S/N</t>
  </si>
  <si>
    <t>AVDA. 9 DE OCTUBRE, 18</t>
  </si>
  <si>
    <t>46930</t>
  </si>
  <si>
    <t>CUART DE POBLET</t>
  </si>
  <si>
    <t>A-3 PK 224</t>
  </si>
  <si>
    <t>16250</t>
  </si>
  <si>
    <t>A-52 PK 249</t>
  </si>
  <si>
    <t>32400</t>
  </si>
  <si>
    <t>A-42 PK 7</t>
  </si>
  <si>
    <t>28912</t>
  </si>
  <si>
    <t>R-4 PK 19,7</t>
  </si>
  <si>
    <t>45223</t>
  </si>
  <si>
    <t>N-332 PK 275,8</t>
  </si>
  <si>
    <t>46460</t>
  </si>
  <si>
    <t>07750</t>
  </si>
  <si>
    <t>MUELLE PESQUERO PUNTA UMBRIA, S/N</t>
  </si>
  <si>
    <t>AVDA. ENSANCHE DE VALLECAS, 2</t>
  </si>
  <si>
    <t>N-260 PK 74</t>
  </si>
  <si>
    <t>17854</t>
  </si>
  <si>
    <t>SAN JAIME DE LLIERCA</t>
  </si>
  <si>
    <t>SOSES II</t>
  </si>
  <si>
    <t>A-2 PK 447,8</t>
  </si>
  <si>
    <t>25181</t>
  </si>
  <si>
    <t>VILASECA II</t>
  </si>
  <si>
    <t>N-340 PK 1149,9</t>
  </si>
  <si>
    <t>43480</t>
  </si>
  <si>
    <t>VILASECA</t>
  </si>
  <si>
    <t>AVDA. ISAAC PERAL, 39</t>
  </si>
  <si>
    <t>29004</t>
  </si>
  <si>
    <t>A-6 PK 487</t>
  </si>
  <si>
    <t>27163</t>
  </si>
  <si>
    <t>CORGO</t>
  </si>
  <si>
    <t>AVDA. VITORIA, S/N</t>
  </si>
  <si>
    <t>31800</t>
  </si>
  <si>
    <t>21004</t>
  </si>
  <si>
    <t>A-52 PK 290</t>
  </si>
  <si>
    <t>M-300 PK 26,9</t>
  </si>
  <si>
    <t>28806</t>
  </si>
  <si>
    <t>ISIDORO</t>
  </si>
  <si>
    <t>VÍA COMPLUTENSE, 165</t>
  </si>
  <si>
    <t>28805</t>
  </si>
  <si>
    <t>A-8 PK 347,5</t>
  </si>
  <si>
    <t>33320</t>
  </si>
  <si>
    <t>N-VI PK 48</t>
  </si>
  <si>
    <t>28440</t>
  </si>
  <si>
    <t>33980</t>
  </si>
  <si>
    <t>A-92 PK 97</t>
  </si>
  <si>
    <t>41550</t>
  </si>
  <si>
    <t>CV-370 PK 18,8</t>
  </si>
  <si>
    <t>46191</t>
  </si>
  <si>
    <t>A-351 PK 34</t>
  </si>
  <si>
    <t>A-4 PK 482,1</t>
  </si>
  <si>
    <t>41429</t>
  </si>
  <si>
    <t>A-31 PK 111</t>
  </si>
  <si>
    <t>02695</t>
  </si>
  <si>
    <t>CP-1706 PK 1,2</t>
  </si>
  <si>
    <t>15660</t>
  </si>
  <si>
    <t>C-13 PK 45</t>
  </si>
  <si>
    <t>25597</t>
  </si>
  <si>
    <t>AVDA. VALDEARGANDA, 8</t>
  </si>
  <si>
    <t>28500</t>
  </si>
  <si>
    <t>SANTA ROSA, 47</t>
  </si>
  <si>
    <t>LOS PEDROCHES</t>
  </si>
  <si>
    <t>CO-423 PK 1,9</t>
  </si>
  <si>
    <t>14450</t>
  </si>
  <si>
    <t>AÑORA</t>
  </si>
  <si>
    <t>A-4 PK 283,4</t>
  </si>
  <si>
    <t>23210</t>
  </si>
  <si>
    <t>AP-7B PK 138,5</t>
  </si>
  <si>
    <t>29691</t>
  </si>
  <si>
    <t>28050</t>
  </si>
  <si>
    <t>CARBAJOSA DE LA SAGRADA</t>
  </si>
  <si>
    <t>POLIGONO INDUSTRIAL EL MONTALVO, PARCELA A-10</t>
  </si>
  <si>
    <t>37188</t>
  </si>
  <si>
    <t>GORNAZO I</t>
  </si>
  <si>
    <t>A-67 PK 191</t>
  </si>
  <si>
    <t>39310</t>
  </si>
  <si>
    <t>MIENGO</t>
  </si>
  <si>
    <t>GORNAZO II</t>
  </si>
  <si>
    <t>CA-146 PK 5,2</t>
  </si>
  <si>
    <t>39150</t>
  </si>
  <si>
    <t>BAÑERES DE MARIOLA</t>
  </si>
  <si>
    <t>LES MOLINES, 35</t>
  </si>
  <si>
    <t>BAÑERES</t>
  </si>
  <si>
    <t>A-7 PK 825</t>
  </si>
  <si>
    <t>03440</t>
  </si>
  <si>
    <t>28529</t>
  </si>
  <si>
    <t>CAPUCHINOS</t>
  </si>
  <si>
    <t>AVDA. DE LA CONSTITUCION, 1 - PLAZA CAPUCHINOS, S/N</t>
  </si>
  <si>
    <t>EL ROMERAL</t>
  </si>
  <si>
    <t>A-92 PK 322</t>
  </si>
  <si>
    <t>C-17 PK 92,7</t>
  </si>
  <si>
    <t>17500</t>
  </si>
  <si>
    <t>POLIGONO INDUSTRIAL EL ARBOL, 1</t>
  </si>
  <si>
    <t>48980</t>
  </si>
  <si>
    <t>AVDA. DEL SOL, S/N - POLIGONO INDUSTRIAL LAS MONJAS</t>
  </si>
  <si>
    <t>03560</t>
  </si>
  <si>
    <t>A-8 PK 234</t>
  </si>
  <si>
    <t>39538</t>
  </si>
  <si>
    <t>01010</t>
  </si>
  <si>
    <t>N-340 PK 716,3</t>
  </si>
  <si>
    <t>03205</t>
  </si>
  <si>
    <t>P.I. LAS QUEMADAS - GABREL RAMOS BEJARANO, S/N, PARCELA 110C</t>
  </si>
  <si>
    <t>A-30 PK 328,2</t>
  </si>
  <si>
    <t>02499</t>
  </si>
  <si>
    <t>09006</t>
  </si>
  <si>
    <t>AP-71 PK 6,8</t>
  </si>
  <si>
    <t>24391</t>
  </si>
  <si>
    <t>CTRA. DE LAS MESAS, PK 0.5</t>
  </si>
  <si>
    <t>02600</t>
  </si>
  <si>
    <t>44001</t>
  </si>
  <si>
    <t>A-43 PK 14</t>
  </si>
  <si>
    <t>13160</t>
  </si>
  <si>
    <t>15890</t>
  </si>
  <si>
    <t>AVDA. DE BURGOS, 34</t>
  </si>
  <si>
    <t>36207</t>
  </si>
  <si>
    <t>A-40 PK 305</t>
  </si>
  <si>
    <t>16190</t>
  </si>
  <si>
    <t>JOSEFA DE LA MAZA, 2 - S-20</t>
  </si>
  <si>
    <t>39012</t>
  </si>
  <si>
    <t>PUZOL</t>
  </si>
  <si>
    <t>PARTIDA DE MARQUESET, S/N</t>
  </si>
  <si>
    <t>46530</t>
  </si>
  <si>
    <t>AVDA. DEL TEXTIL, S/N</t>
  </si>
  <si>
    <t>46870</t>
  </si>
  <si>
    <t>LA GALIA</t>
  </si>
  <si>
    <t>AVDA. DEL BIMILENARIO, S/N</t>
  </si>
  <si>
    <t>03207</t>
  </si>
  <si>
    <t>N-121-A PK 49</t>
  </si>
  <si>
    <t>31740</t>
  </si>
  <si>
    <t>SANTESTEBAN</t>
  </si>
  <si>
    <t>F-36 PK 7,2</t>
  </si>
  <si>
    <t>ALDEANUEVA</t>
  </si>
  <si>
    <t>A-66 PK 436,4</t>
  </si>
  <si>
    <t>10740</t>
  </si>
  <si>
    <t>DIPUTACION, 9</t>
  </si>
  <si>
    <t>08014</t>
  </si>
  <si>
    <t>N-634 PK 521</t>
  </si>
  <si>
    <t>33710</t>
  </si>
  <si>
    <t>19170</t>
  </si>
  <si>
    <t>RONDA SANTA EULALIA, 33 - AUTOVIA DEL BAIX LLOBREGAT</t>
  </si>
  <si>
    <t>C-28 PK 29,5</t>
  </si>
  <si>
    <t>25599</t>
  </si>
  <si>
    <t>M-607 PK 48,2</t>
  </si>
  <si>
    <t>28412</t>
  </si>
  <si>
    <t>A-7 PK 543</t>
  </si>
  <si>
    <t>04628</t>
  </si>
  <si>
    <t>A-30 PK 365,2</t>
  </si>
  <si>
    <t>30540</t>
  </si>
  <si>
    <t>RAMON Y CAJAL</t>
  </si>
  <si>
    <t>PASEO RAMON Y CAJAL, 91</t>
  </si>
  <si>
    <t>22006</t>
  </si>
  <si>
    <t>08930</t>
  </si>
  <si>
    <t>19268</t>
  </si>
  <si>
    <t>GLORIETA DE YUCATAN, S/N</t>
  </si>
  <si>
    <t>CABORANA</t>
  </si>
  <si>
    <t>POLIGONO INDUSTRIAL DE CABORANA</t>
  </si>
  <si>
    <t>33684</t>
  </si>
  <si>
    <t>CABORANA DE ALLER</t>
  </si>
  <si>
    <t>A-92N PK 341,6</t>
  </si>
  <si>
    <t>AP-36 PK 40,4</t>
  </si>
  <si>
    <t>45880</t>
  </si>
  <si>
    <t>AP-36 PK 34</t>
  </si>
  <si>
    <t>AP-36 PK 84</t>
  </si>
  <si>
    <t>16639</t>
  </si>
  <si>
    <t>AP-36 PK 120</t>
  </si>
  <si>
    <t>16670</t>
  </si>
  <si>
    <t>A-43 PK 156,1</t>
  </si>
  <si>
    <t>A-66 PK 657</t>
  </si>
  <si>
    <t>06220</t>
  </si>
  <si>
    <t>46380</t>
  </si>
  <si>
    <t>AC-414 PK 1</t>
  </si>
  <si>
    <t>A-66 PK 694</t>
  </si>
  <si>
    <t>06249</t>
  </si>
  <si>
    <t>AVDA. DEL PLA,  77</t>
  </si>
  <si>
    <t>PETROAGOST</t>
  </si>
  <si>
    <t>CV-820 PK 13</t>
  </si>
  <si>
    <t>03698</t>
  </si>
  <si>
    <t>AGOST</t>
  </si>
  <si>
    <t>CV-320 PK 5,9</t>
  </si>
  <si>
    <t>CV-35 PK 17</t>
  </si>
  <si>
    <t>46185</t>
  </si>
  <si>
    <t>PUEBLA DE VALLBONA</t>
  </si>
  <si>
    <t>E.S. ALJARAQUE</t>
  </si>
  <si>
    <t>CERAMICA, 1 - P.I. LA RAYA, PARCELA 3, MANZANA E-2</t>
  </si>
  <si>
    <t>21110</t>
  </si>
  <si>
    <t>A-376 PK 120,7</t>
  </si>
  <si>
    <t>A-1 PK 384,9</t>
  </si>
  <si>
    <t>01207</t>
  </si>
  <si>
    <t>SAN MILLAN</t>
  </si>
  <si>
    <t>N-332 PK 52,1</t>
  </si>
  <si>
    <t>A-23 PK 92</t>
  </si>
  <si>
    <t>44450</t>
  </si>
  <si>
    <t>AVDA. DE LAS TRECE ROSAS, 6 - EL BERCIAL</t>
  </si>
  <si>
    <t>28903</t>
  </si>
  <si>
    <t>07109</t>
  </si>
  <si>
    <t>N-632 PK 43</t>
  </si>
  <si>
    <t>33300</t>
  </si>
  <si>
    <t>AVENIDA ARCOS, SECTOR 28 LA MARQUESA NORTE</t>
  </si>
  <si>
    <t>A-43 PK 117</t>
  </si>
  <si>
    <t>33180</t>
  </si>
  <si>
    <t>RONDA SUR, 107-109</t>
  </si>
  <si>
    <t>30152</t>
  </si>
  <si>
    <t>A-62 PK 297</t>
  </si>
  <si>
    <t>37494</t>
  </si>
  <si>
    <t>A-67 PK 133,4</t>
  </si>
  <si>
    <t>BOLMIR</t>
  </si>
  <si>
    <t>QUESADAGAS</t>
  </si>
  <si>
    <t>GUADALAJARA - URBANIZ. LO MARABU</t>
  </si>
  <si>
    <t>03170</t>
  </si>
  <si>
    <t>ROJALES</t>
  </si>
  <si>
    <t>CTRA. DE FEANS, S/N - BARRIO RESIDENCIAL NUEVO MESOIRO</t>
  </si>
  <si>
    <t>N-630 PK 648</t>
  </si>
  <si>
    <t>06200</t>
  </si>
  <si>
    <t>A-23 PK 175</t>
  </si>
  <si>
    <t>44350</t>
  </si>
  <si>
    <t>VIA PISTA DE ENLACE AUTOVIA RIAS BAIXAS, S/N</t>
  </si>
  <si>
    <t>32630</t>
  </si>
  <si>
    <t>GINZO DE LIMIA</t>
  </si>
  <si>
    <t>CARROASTORGA</t>
  </si>
  <si>
    <t>A-66 PK 170</t>
  </si>
  <si>
    <t>24234</t>
  </si>
  <si>
    <t>VILLAMAÑAN</t>
  </si>
  <si>
    <t>N-340A PK 630,5</t>
  </si>
  <si>
    <t>30840</t>
  </si>
  <si>
    <t>AVDA. DEL MEDITERRANEO, 10</t>
  </si>
  <si>
    <t>46910</t>
  </si>
  <si>
    <t>N-VA PK 334,2</t>
  </si>
  <si>
    <t>N-120 PK 330</t>
  </si>
  <si>
    <t>24392</t>
  </si>
  <si>
    <t>46014</t>
  </si>
  <si>
    <t>A-7 PK 1156</t>
  </si>
  <si>
    <t>43204</t>
  </si>
  <si>
    <t>A-6 PK 303</t>
  </si>
  <si>
    <t>24750</t>
  </si>
  <si>
    <t>AVDA. JUAN DE BORBON, 230</t>
  </si>
  <si>
    <t>30110</t>
  </si>
  <si>
    <t>A-66 PK 375</t>
  </si>
  <si>
    <t>37795</t>
  </si>
  <si>
    <t>AVDA. AUXIAS MARCH, S/N</t>
  </si>
  <si>
    <t>03509</t>
  </si>
  <si>
    <t>A-1 PK 406</t>
  </si>
  <si>
    <t>20213</t>
  </si>
  <si>
    <t>N-121-B PK 80</t>
  </si>
  <si>
    <t>LEORIO-MAREO</t>
  </si>
  <si>
    <t>AS-I PK 37</t>
  </si>
  <si>
    <t>33390</t>
  </si>
  <si>
    <t>CAMINO VIEJO DE ARMILLA, S/N ESQ. AVDA. SAN RAFAEL, S/N</t>
  </si>
  <si>
    <t>18100</t>
  </si>
  <si>
    <t>28924</t>
  </si>
  <si>
    <t>REINOSA II</t>
  </si>
  <si>
    <t>AVDA. CANTABRIA, 99</t>
  </si>
  <si>
    <t>39200</t>
  </si>
  <si>
    <t>REINOSA</t>
  </si>
  <si>
    <t>CM-4010 PK 0,5</t>
  </si>
  <si>
    <t>MUELLE PESQUERO BERBES, DARSENA 4</t>
  </si>
  <si>
    <t>A-1 PK 24,2</t>
  </si>
  <si>
    <t>POLIGONO INDUSTRIAL ARANAZTEGI, 16</t>
  </si>
  <si>
    <t>20140</t>
  </si>
  <si>
    <t>A-62 PK 64,3</t>
  </si>
  <si>
    <t>34230</t>
  </si>
  <si>
    <t>43800</t>
  </si>
  <si>
    <t>20570</t>
  </si>
  <si>
    <t>AVDA. HERMANOS MACHADO, 139 (CAMINO VIEJO GODELLA)</t>
  </si>
  <si>
    <t>46019</t>
  </si>
  <si>
    <t>VEGA CORREA</t>
  </si>
  <si>
    <t>A-495 PK 84,6</t>
  </si>
  <si>
    <t>21570</t>
  </si>
  <si>
    <t>SANTA BARBARA DE CASA</t>
  </si>
  <si>
    <t>CV-743 PK 4</t>
  </si>
  <si>
    <t>03725</t>
  </si>
  <si>
    <t>TEULADA</t>
  </si>
  <si>
    <t>AVDA. GUIPUZCOA, 1</t>
  </si>
  <si>
    <t>31014</t>
  </si>
  <si>
    <t>A-7 PK 292</t>
  </si>
  <si>
    <t>29788</t>
  </si>
  <si>
    <t>DUBLIN, 4</t>
  </si>
  <si>
    <t>T-3120 PK 2</t>
  </si>
  <si>
    <t>43850</t>
  </si>
  <si>
    <t>LA TORRE</t>
  </si>
  <si>
    <t>CM-5004 PK 6</t>
  </si>
  <si>
    <t>45920</t>
  </si>
  <si>
    <t>LA TORRE DE ESTEBAN HAMBRAN</t>
  </si>
  <si>
    <t>A-7 PK 838</t>
  </si>
  <si>
    <t>RONDA SANT PAU DE RIU SEC,  7</t>
  </si>
  <si>
    <t>EL COTO</t>
  </si>
  <si>
    <t>GLORIETA JOSE SOLANO ALLENDE, S/N</t>
  </si>
  <si>
    <t>A-50 PK 30,3</t>
  </si>
  <si>
    <t>05309</t>
  </si>
  <si>
    <t>AL-12 PK 3,6</t>
  </si>
  <si>
    <t>TRANSVERSAL DEL PUERTO</t>
  </si>
  <si>
    <t>AC-116 PK 5,7</t>
  </si>
  <si>
    <t>15540</t>
  </si>
  <si>
    <t>A-7 PK 158</t>
  </si>
  <si>
    <t>CTRA- PO 531, PK 16</t>
  </si>
  <si>
    <t>36616</t>
  </si>
  <si>
    <t>CALLE CERRAJEROS Nº 2 (PARCELA M-6 DEL SUP)</t>
  </si>
  <si>
    <t>A-1 PK 443</t>
  </si>
  <si>
    <t>20150</t>
  </si>
  <si>
    <t>PARQUE LOGISTICO MARBELLA</t>
  </si>
  <si>
    <t>FINCA LA MINA,CTRA A OJEN C-355 KM 36,5</t>
  </si>
  <si>
    <t>29601</t>
  </si>
  <si>
    <t>MUELLE FRIGORIFICOS PUERTO PESQUERO</t>
  </si>
  <si>
    <t>36900</t>
  </si>
  <si>
    <t>33290</t>
  </si>
  <si>
    <t>A-11 PK 218</t>
  </si>
  <si>
    <t>42300</t>
  </si>
  <si>
    <t>AIRON</t>
  </si>
  <si>
    <t>ROSALÍA DE CASTRO, 14- ESQUINA C/ AGUSTINA DE ARAGÓN, S/N</t>
  </si>
  <si>
    <t>28342</t>
  </si>
  <si>
    <t>AVDA. ASTILLEROS, S/N</t>
  </si>
  <si>
    <t>UNQUERA</t>
  </si>
  <si>
    <t>N-634 PK 279</t>
  </si>
  <si>
    <t>39594</t>
  </si>
  <si>
    <t>VAL DE SAN VICENTE</t>
  </si>
  <si>
    <t>21730</t>
  </si>
  <si>
    <t>N-331 PK 96</t>
  </si>
  <si>
    <t>14910</t>
  </si>
  <si>
    <t>A-2 PK 112</t>
  </si>
  <si>
    <t>N-340A PK 560,1</t>
  </si>
  <si>
    <t>POLIGONO INDUSTRIAL SAN PEDRO DE ALCANTARA, C/ HELSINKI, 40</t>
  </si>
  <si>
    <t>A-66 PK 730</t>
  </si>
  <si>
    <t>06260</t>
  </si>
  <si>
    <t>GIL MARTINEZ</t>
  </si>
  <si>
    <t>CARRETERA BA 105 KM. 0,55</t>
  </si>
  <si>
    <t>06740</t>
  </si>
  <si>
    <t>ORELLANA LA VIEJA</t>
  </si>
  <si>
    <t>08440</t>
  </si>
  <si>
    <t>A4 PINTO 365</t>
  </si>
  <si>
    <t>COTO DE DOÑANA, 1  BIS</t>
  </si>
  <si>
    <t>E.S. PETROIBERICA</t>
  </si>
  <si>
    <t>02007</t>
  </si>
  <si>
    <t>E.S. LEPE</t>
  </si>
  <si>
    <t>EL TORO</t>
  </si>
  <si>
    <t>CALLE GASPAR BRAVO DE SOBREMONTE, 8</t>
  </si>
  <si>
    <t>03724</t>
  </si>
  <si>
    <t>A-8, PK 218</t>
  </si>
  <si>
    <t>39660</t>
  </si>
  <si>
    <t>AVENIDA NUEVA MONTAÑA 2F</t>
  </si>
  <si>
    <t>39011</t>
  </si>
  <si>
    <t>EK43 P.P. ALMERIA</t>
  </si>
  <si>
    <t>28938</t>
  </si>
  <si>
    <t>AVDA.  DE LOS DOLORES, 3</t>
  </si>
  <si>
    <t>30011</t>
  </si>
  <si>
    <t>A-50 PK 86</t>
  </si>
  <si>
    <t>37893</t>
  </si>
  <si>
    <t>MIGUEL DE CERVANTES, 44</t>
  </si>
  <si>
    <t>27780</t>
  </si>
  <si>
    <t xml:space="preserve"> AGUILAR DE CAMPOO</t>
  </si>
  <si>
    <t>34800</t>
  </si>
  <si>
    <t>04230</t>
  </si>
  <si>
    <t>VALVERDE</t>
  </si>
  <si>
    <t>FRESNO, 72</t>
  </si>
  <si>
    <t>40140</t>
  </si>
  <si>
    <t>VALVERDE DEL MAJANO</t>
  </si>
  <si>
    <t>28140</t>
  </si>
  <si>
    <t>28840</t>
  </si>
  <si>
    <t>28522</t>
  </si>
  <si>
    <t>02008</t>
  </si>
  <si>
    <t>AVENIDA CAMINO REAL, 6 - POLIGONO INDUSTRIAL PUENTE MADRE</t>
  </si>
  <si>
    <t>26142</t>
  </si>
  <si>
    <t>C/ ALCALDE MARTÍN COBOS, 18 (ESQUINA C/ VITORIA)</t>
  </si>
  <si>
    <t>09007</t>
  </si>
  <si>
    <t>ANSELMO SOLAR (CASTIELLO BERNUECES)</t>
  </si>
  <si>
    <t>33394</t>
  </si>
  <si>
    <t>A-6, PK 394</t>
  </si>
  <si>
    <t>24410</t>
  </si>
  <si>
    <t>41007</t>
  </si>
  <si>
    <t>N-340A PK 533</t>
  </si>
  <si>
    <t>04620</t>
  </si>
  <si>
    <t>LE-5504 PK 3</t>
  </si>
  <si>
    <t>24008</t>
  </si>
  <si>
    <t>AVENIDA FRAGA IRIBARNE, S/N</t>
  </si>
  <si>
    <t>15300</t>
  </si>
  <si>
    <t>CTRA FRAGA A TORRENTE DE CINCA, S/N - POLIGONO 88, PARCELAS 22 Y 25</t>
  </si>
  <si>
    <t>ISLA DE AROSA</t>
  </si>
  <si>
    <t>PO-307, PK 1,34</t>
  </si>
  <si>
    <t>ÓRGIVA</t>
  </si>
  <si>
    <t>CALLE FUENTE MARIANO, 1</t>
  </si>
  <si>
    <t>18400</t>
  </si>
  <si>
    <t>ORGIVA</t>
  </si>
  <si>
    <t>ALCAZAR</t>
  </si>
  <si>
    <t>AVDA, CERVERA, 81</t>
  </si>
  <si>
    <t>ES MAYORAZGO</t>
  </si>
  <si>
    <t>CALLE SIERRA DE LA DEMANDA. 2</t>
  </si>
  <si>
    <t>AUTOVIA A-8, SALIDA 277</t>
  </si>
  <si>
    <t>33590</t>
  </si>
  <si>
    <t>RIBADEDEVA</t>
  </si>
  <si>
    <t>PARCELA T-2, SECTOR S-RTU 5 - CALAS DEL PINAR</t>
  </si>
  <si>
    <t>04640</t>
  </si>
  <si>
    <t>PULPI</t>
  </si>
  <si>
    <t>SERON</t>
  </si>
  <si>
    <t>C/ MINA LEONA, 1, POLIGONO INDUSTRIAL LAS ZALEAS</t>
  </si>
  <si>
    <t>04890</t>
  </si>
  <si>
    <t>LA CARIDAD</t>
  </si>
  <si>
    <t>A-8, PK 490</t>
  </si>
  <si>
    <t>33750</t>
  </si>
  <si>
    <t>EL FRANCO</t>
  </si>
  <si>
    <t>LA VENTA-MECO</t>
  </si>
  <si>
    <t>A-2 PK 38</t>
  </si>
  <si>
    <t>28880</t>
  </si>
  <si>
    <t>MECO</t>
  </si>
  <si>
    <t>A-23 PK 304</t>
  </si>
  <si>
    <t>50830</t>
  </si>
  <si>
    <t>RUA PAIS VASCO, 65 - P.I. A SIONLLA</t>
  </si>
  <si>
    <t>SIONLLA DE ABAIXO</t>
  </si>
  <si>
    <t>EL CALEYU</t>
  </si>
  <si>
    <t>A-66 PK 34</t>
  </si>
  <si>
    <t>33172</t>
  </si>
  <si>
    <t>RIBERA DE ARRIBA</t>
  </si>
  <si>
    <t>SE-30</t>
  </si>
  <si>
    <t>AVENIDA FERNÁNDEZ MURUBE, NÚMERO 14</t>
  </si>
  <si>
    <t>TRABAZOS</t>
  </si>
  <si>
    <t>POLIGONO 506, PARCELA 1.608-B - CRUZ DE LA ERA</t>
  </si>
  <si>
    <t>49516</t>
  </si>
  <si>
    <t>E.S. PUERTOLLANO</t>
  </si>
  <si>
    <t>CARRETERA DE ARGAMASILLA, 50</t>
  </si>
  <si>
    <t>13500</t>
  </si>
  <si>
    <t>BERGARA</t>
  </si>
  <si>
    <t>TELLERIA, 16 - POLIGONO INDUSTRIAL LABEGARAIETA, PARCELA P-4-B</t>
  </si>
  <si>
    <t>VERGARA</t>
  </si>
  <si>
    <t>AVDA. DENIA 183</t>
  </si>
  <si>
    <t>03559</t>
  </si>
  <si>
    <t>S-30 PK 7</t>
  </si>
  <si>
    <t>27776</t>
  </si>
  <si>
    <t>CRTA. CT-2 PK. 6,70 PARCELAS 217/218/219/218/283 DEL POLIGONO 63</t>
  </si>
  <si>
    <t>33456</t>
  </si>
  <si>
    <t>CASTRILLON</t>
  </si>
  <si>
    <t>CALLE LAS ARENAS, 2 - POLIGONO INDUSTRIAL LAS ARENAS</t>
  </si>
  <si>
    <t>POLIGONO SEPES-LA VEGA, PARCELA 74-80</t>
  </si>
  <si>
    <t>15172</t>
  </si>
  <si>
    <t>POLIGONO INDUSTRIAL DE BAROS, 9</t>
  </si>
  <si>
    <t>39400</t>
  </si>
  <si>
    <t>LOS CORRALES DE BUELNA</t>
  </si>
  <si>
    <t>COBO GUARNIZO</t>
  </si>
  <si>
    <t>POLIGONO INDUSTRIAL GUARNIZO, PARCELA 22</t>
  </si>
  <si>
    <t>39480</t>
  </si>
  <si>
    <t>GUARNIZO</t>
  </si>
  <si>
    <t>M-406 PK 7,3</t>
  </si>
  <si>
    <t>34004</t>
  </si>
  <si>
    <t>BURGOS LA VENTILLA</t>
  </si>
  <si>
    <t>CALLE PARAMO, 10</t>
  </si>
  <si>
    <t>N-550 PK 6,6</t>
  </si>
  <si>
    <t>15189</t>
  </si>
  <si>
    <t>Bº PUMARIJO S/Nº</t>
  </si>
  <si>
    <t>39628</t>
  </si>
  <si>
    <t>AVDA. PALMAS ALTAS, S/N (CC. LAGOH)</t>
  </si>
  <si>
    <t>41012</t>
  </si>
  <si>
    <t>CTRA. DE MADRID, 19</t>
  </si>
  <si>
    <t>37900</t>
  </si>
  <si>
    <t>LA COMTESSA</t>
  </si>
  <si>
    <t>CARRETERA PILES (SECTOR 3 Y 4 - PARC. 21), PK. 5</t>
  </si>
  <si>
    <t>46715</t>
  </si>
  <si>
    <t>ALQUERIA DE LA CONDESA</t>
  </si>
  <si>
    <t>E.S. PONTEBRANCA</t>
  </si>
  <si>
    <t>LUGAR CIMA DE VILA (PEDREDA), 21</t>
  </si>
  <si>
    <t>27294</t>
  </si>
  <si>
    <t>SALDAÑA</t>
  </si>
  <si>
    <t>CARRETERA P-235 SAHAGÚN - SALDAÑA. PARC.94, POL.101</t>
  </si>
  <si>
    <t>34100</t>
  </si>
  <si>
    <t>SERRA</t>
  </si>
  <si>
    <t>CARRETERA CV-310 KM. 20</t>
  </si>
  <si>
    <t>46119</t>
  </si>
  <si>
    <t>NAQUERA</t>
  </si>
  <si>
    <t>MA-19 PK 26</t>
  </si>
  <si>
    <t>J-710 PK 15,1</t>
  </si>
  <si>
    <t>23311</t>
  </si>
  <si>
    <t>N-433 PK 105</t>
  </si>
  <si>
    <t>21291</t>
  </si>
  <si>
    <t>A-472 PK 87</t>
  </si>
  <si>
    <t>21002</t>
  </si>
  <si>
    <t>N-403 PK 134,1</t>
  </si>
  <si>
    <t>05002</t>
  </si>
  <si>
    <t>N-620 PK 228,6</t>
  </si>
  <si>
    <t>37439</t>
  </si>
  <si>
    <t>A-355 PK 3,8</t>
  </si>
  <si>
    <t>C-3331 PK 88</t>
  </si>
  <si>
    <t>M-100 PK 1,2</t>
  </si>
  <si>
    <t>C-550 PK 64</t>
  </si>
  <si>
    <t>15970</t>
  </si>
  <si>
    <t>AP-6 PK 42,3</t>
  </si>
  <si>
    <t>28200</t>
  </si>
  <si>
    <t>SAN LORENZO DE EL ESCORIAL</t>
  </si>
  <si>
    <t>CAROLINA</t>
  </si>
  <si>
    <t>PLAZA REYES CATOLICOS, 3</t>
  </si>
  <si>
    <t>AS-246 PK 3</t>
  </si>
  <si>
    <t>N-IA PK 350,1</t>
  </si>
  <si>
    <t>N-IVA PK 680</t>
  </si>
  <si>
    <t>CM-400 PK 61</t>
  </si>
  <si>
    <t>V-6044 PK 6,3</t>
  </si>
  <si>
    <t>46112</t>
  </si>
  <si>
    <t>33402</t>
  </si>
  <si>
    <t>N-II PK 680,9</t>
  </si>
  <si>
    <t>08490</t>
  </si>
  <si>
    <t>HERAS</t>
  </si>
  <si>
    <t>N-635A PK 10,2</t>
  </si>
  <si>
    <t>39792</t>
  </si>
  <si>
    <t>SANT JORDI I</t>
  </si>
  <si>
    <t>C-55 PK 24,9</t>
  </si>
  <si>
    <t>08240</t>
  </si>
  <si>
    <t>MANRESA</t>
  </si>
  <si>
    <t>C-15 PK 51,3</t>
  </si>
  <si>
    <t>AP-8 PK 27,1</t>
  </si>
  <si>
    <t>20170</t>
  </si>
  <si>
    <t>A-4 PK 316,7</t>
  </si>
  <si>
    <t>MATALASCAÑAS</t>
  </si>
  <si>
    <t>A-483 PK 40,6</t>
  </si>
  <si>
    <t>21760</t>
  </si>
  <si>
    <t>LC-403 PK 93,6</t>
  </si>
  <si>
    <t>15258</t>
  </si>
  <si>
    <t>PINO DE VAL</t>
  </si>
  <si>
    <t>C-12 PK 17</t>
  </si>
  <si>
    <t>N-340 PK 343</t>
  </si>
  <si>
    <t>18730</t>
  </si>
  <si>
    <t>48920</t>
  </si>
  <si>
    <t>OU-540 PK 15,4</t>
  </si>
  <si>
    <t>32830</t>
  </si>
  <si>
    <t>AP-7 PK 237</t>
  </si>
  <si>
    <t>43893</t>
  </si>
  <si>
    <t>28022</t>
  </si>
  <si>
    <t>FRANCOLI, 75</t>
  </si>
  <si>
    <t>43006</t>
  </si>
  <si>
    <t>OIARTZUN  I</t>
  </si>
  <si>
    <t>AP-8 PK 8,3</t>
  </si>
  <si>
    <t>20180</t>
  </si>
  <si>
    <t>OIARTZUN  II</t>
  </si>
  <si>
    <t>AP-2 PK 196</t>
  </si>
  <si>
    <t>43400</t>
  </si>
  <si>
    <t>MONTBLANCH</t>
  </si>
  <si>
    <t>AP-7 PK 655,4</t>
  </si>
  <si>
    <t>A-15 PK 78</t>
  </si>
  <si>
    <t>31119</t>
  </si>
  <si>
    <t>A-226 PK 27,8</t>
  </si>
  <si>
    <t>44147</t>
  </si>
  <si>
    <t>N-125 PK 5,6</t>
  </si>
  <si>
    <t>50190</t>
  </si>
  <si>
    <t>PASEO JUAN CARLOS I, 113</t>
  </si>
  <si>
    <t>47011</t>
  </si>
  <si>
    <t>POZO DE LAS NIEVES, 30  C/V EBANISTERIA, S/N</t>
  </si>
  <si>
    <t>N-VI PK 586,8</t>
  </si>
  <si>
    <t>15173</t>
  </si>
  <si>
    <t>C-253 PK 41,3</t>
  </si>
  <si>
    <t>17220</t>
  </si>
  <si>
    <t>SAN FELIU DE GUIXOLS</t>
  </si>
  <si>
    <t>LLOBREGAT</t>
  </si>
  <si>
    <t>AP-7 PK 165,5</t>
  </si>
  <si>
    <t>08755</t>
  </si>
  <si>
    <t>HERMANOS GARCIA NOBLEJAS, 35</t>
  </si>
  <si>
    <t>28037</t>
  </si>
  <si>
    <t>AP-7 PK 358,2</t>
  </si>
  <si>
    <t>12580</t>
  </si>
  <si>
    <t>A-1 PK 29,1</t>
  </si>
  <si>
    <t>28770</t>
  </si>
  <si>
    <t>COLMENAR VIEJO</t>
  </si>
  <si>
    <t>POBLADURA DEL VALLE, 31</t>
  </si>
  <si>
    <t>N-637 PK 22,1</t>
  </si>
  <si>
    <t>48170</t>
  </si>
  <si>
    <t>AP-7 PK 35</t>
  </si>
  <si>
    <t>17476</t>
  </si>
  <si>
    <t>N-620 PK 341</t>
  </si>
  <si>
    <t>37497</t>
  </si>
  <si>
    <t>31592</t>
  </si>
  <si>
    <t>M-402 PK 3,5</t>
  </si>
  <si>
    <t>AP-2 PK 47,7</t>
  </si>
  <si>
    <t>M-607 PK 45</t>
  </si>
  <si>
    <t>28410</t>
  </si>
  <si>
    <t>N-II PK 591,3</t>
  </si>
  <si>
    <t>08760</t>
  </si>
  <si>
    <t>MOGOLLON</t>
  </si>
  <si>
    <t>N-433 PK 17,8</t>
  </si>
  <si>
    <t>41890</t>
  </si>
  <si>
    <t>EL CASTILLO DE LAS GUARDAS</t>
  </si>
  <si>
    <t>GR-17 PK 3,1</t>
  </si>
  <si>
    <t>18198</t>
  </si>
  <si>
    <t>CORTS CATALANES, 60</t>
  </si>
  <si>
    <t>SAN SIMON I</t>
  </si>
  <si>
    <t>AP-9 PK 144</t>
  </si>
  <si>
    <t>31008</t>
  </si>
  <si>
    <t>SAN SIMON II</t>
  </si>
  <si>
    <t>AP-1 PK 35,5</t>
  </si>
  <si>
    <t>09240</t>
  </si>
  <si>
    <t>TOCALU</t>
  </si>
  <si>
    <t>A-2622 PK 20</t>
  </si>
  <si>
    <t>01428</t>
  </si>
  <si>
    <t>RIBERA ALTA</t>
  </si>
  <si>
    <t>N-420 PK 867</t>
  </si>
  <si>
    <t>AMEIXEIRA NORTE</t>
  </si>
  <si>
    <t>AP-9 PK 39,5</t>
  </si>
  <si>
    <t>15680</t>
  </si>
  <si>
    <t>AMEIXEIRA SUR</t>
  </si>
  <si>
    <t>VALLES NORTE</t>
  </si>
  <si>
    <t>AP-7 PK 144</t>
  </si>
  <si>
    <t>AP-1 PK 63,5</t>
  </si>
  <si>
    <t>09219</t>
  </si>
  <si>
    <t>02001</t>
  </si>
  <si>
    <t>AP-66 PK 89</t>
  </si>
  <si>
    <t>24146</t>
  </si>
  <si>
    <t>BOTAFOC IBIZA</t>
  </si>
  <si>
    <t>PASEO JUAN CARLOS I</t>
  </si>
  <si>
    <t>LA SOLANA</t>
  </si>
  <si>
    <t>N-430 PK 376,2</t>
  </si>
  <si>
    <t>13240</t>
  </si>
  <si>
    <t>PUERTO DEPORTIVO S'ESTANYOL</t>
  </si>
  <si>
    <t>AS-19 PK 9,6</t>
  </si>
  <si>
    <t>33438</t>
  </si>
  <si>
    <t>A-6 PK 111</t>
  </si>
  <si>
    <t>05296</t>
  </si>
  <si>
    <t>A-4 PK 291,5</t>
  </si>
  <si>
    <t>N-332 PK 221,6</t>
  </si>
  <si>
    <t>46700</t>
  </si>
  <si>
    <t>V-6044 PK 1,7</t>
  </si>
  <si>
    <t>46110</t>
  </si>
  <si>
    <t>46018</t>
  </si>
  <si>
    <t>N-VA PK 399,6</t>
  </si>
  <si>
    <t>06009</t>
  </si>
  <si>
    <t>N-630 PK 274,8</t>
  </si>
  <si>
    <t>49024</t>
  </si>
  <si>
    <t>AS-18 PK 0,1</t>
  </si>
  <si>
    <t>33011</t>
  </si>
  <si>
    <t>GASOLI I</t>
  </si>
  <si>
    <t>A-42 PK 57,7</t>
  </si>
  <si>
    <t>45280</t>
  </si>
  <si>
    <t>EXGA</t>
  </si>
  <si>
    <t>N-120 PK 660,3</t>
  </si>
  <si>
    <t>36416</t>
  </si>
  <si>
    <t>COMTES D'URGELL I</t>
  </si>
  <si>
    <t>N-IIA PK 463,5</t>
  </si>
  <si>
    <t>25001</t>
  </si>
  <si>
    <t>A-62 PK 116,9</t>
  </si>
  <si>
    <t>28044</t>
  </si>
  <si>
    <t>A-1 PK 146,7</t>
  </si>
  <si>
    <t>09462</t>
  </si>
  <si>
    <t>NUESTRA SEÑORA DE LAS NIEVES</t>
  </si>
  <si>
    <t>A-382 PK 26,8</t>
  </si>
  <si>
    <t>11630</t>
  </si>
  <si>
    <t>BORDETA</t>
  </si>
  <si>
    <t>AVDA. FLIX, 41</t>
  </si>
  <si>
    <t>N-340A PK 241</t>
  </si>
  <si>
    <t>PINAR DE CHAMARTIN</t>
  </si>
  <si>
    <t>AVDA. SAN LUIS, 75</t>
  </si>
  <si>
    <t>N-340 PK 110,8</t>
  </si>
  <si>
    <t>11370</t>
  </si>
  <si>
    <t>BI-632 PK 38,3</t>
  </si>
  <si>
    <t>48230</t>
  </si>
  <si>
    <t>N-IV PK 635,1</t>
  </si>
  <si>
    <t>11407</t>
  </si>
  <si>
    <t>CA-604 PK 1</t>
  </si>
  <si>
    <t>N-110 PK 261,5</t>
  </si>
  <si>
    <t>05192</t>
  </si>
  <si>
    <t>H-611 PK 5,3</t>
  </si>
  <si>
    <t>21710</t>
  </si>
  <si>
    <t>LABAJOS</t>
  </si>
  <si>
    <t>N-VI PK 94,6</t>
  </si>
  <si>
    <t>40146</t>
  </si>
  <si>
    <t>ROGER DE FLOR, 58</t>
  </si>
  <si>
    <t>08013</t>
  </si>
  <si>
    <t>RONDA DE SEGOVIA, 37</t>
  </si>
  <si>
    <t>ALGEMESI</t>
  </si>
  <si>
    <t>C-3320 PK 5</t>
  </si>
  <si>
    <t>46680</t>
  </si>
  <si>
    <t>N-631 PK 21</t>
  </si>
  <si>
    <t>49140</t>
  </si>
  <si>
    <t>N-623 PK 27,3</t>
  </si>
  <si>
    <t>09141</t>
  </si>
  <si>
    <t>A-31 PK 63,4</t>
  </si>
  <si>
    <t>02080</t>
  </si>
  <si>
    <t>LOS PEDRONES</t>
  </si>
  <si>
    <t>N-330 PK 152,8</t>
  </si>
  <si>
    <t>46355</t>
  </si>
  <si>
    <t>CORRAL DEL REY, S/N</t>
  </si>
  <si>
    <t>21670</t>
  </si>
  <si>
    <t>N-121 PK 56,2</t>
  </si>
  <si>
    <t>31380</t>
  </si>
  <si>
    <t>N-VA PK 19,2</t>
  </si>
  <si>
    <t>28935</t>
  </si>
  <si>
    <t>N-VI PK 262</t>
  </si>
  <si>
    <t>N-IVA PK 48,7</t>
  </si>
  <si>
    <t>N-VI PK 405</t>
  </si>
  <si>
    <t>24516</t>
  </si>
  <si>
    <t>TORAL DE LOS VADOS</t>
  </si>
  <si>
    <t>N-110 PK 253</t>
  </si>
  <si>
    <t>05004</t>
  </si>
  <si>
    <t>ESPIRITU SANTO</t>
  </si>
  <si>
    <t>N-VI PK 582</t>
  </si>
  <si>
    <t>15160</t>
  </si>
  <si>
    <t>M-601 PK 10,3</t>
  </si>
  <si>
    <t>28491</t>
  </si>
  <si>
    <t>M-605 PK 5</t>
  </si>
  <si>
    <t>28048</t>
  </si>
  <si>
    <t>CASTELLBISBALL</t>
  </si>
  <si>
    <t>C-243 PK 5</t>
  </si>
  <si>
    <t>A-5 PK 86,9</t>
  </si>
  <si>
    <t>45543</t>
  </si>
  <si>
    <t>SE-218 PK 0,1</t>
  </si>
  <si>
    <t>08030</t>
  </si>
  <si>
    <t>N-432 PK 425</t>
  </si>
  <si>
    <t>18240</t>
  </si>
  <si>
    <t>CM-3102 PK 22,1</t>
  </si>
  <si>
    <t>13630</t>
  </si>
  <si>
    <t>CM-3102 PK 23,1</t>
  </si>
  <si>
    <t>CRAYWINKEL, 1</t>
  </si>
  <si>
    <t>08022</t>
  </si>
  <si>
    <t>N-340 PK 82,1</t>
  </si>
  <si>
    <t>04560</t>
  </si>
  <si>
    <t>CM-400 PK 114,8</t>
  </si>
  <si>
    <t>13690</t>
  </si>
  <si>
    <t>BUGANVILLA</t>
  </si>
  <si>
    <t>A-4 PK 524</t>
  </si>
  <si>
    <t>EX-108 PK 111,7</t>
  </si>
  <si>
    <t>10840</t>
  </si>
  <si>
    <t>N-340 PK 688</t>
  </si>
  <si>
    <t>JACARILLA</t>
  </si>
  <si>
    <t>CV-95 PK 10</t>
  </si>
  <si>
    <t>03310</t>
  </si>
  <si>
    <t>EL LIMONAR</t>
  </si>
  <si>
    <t>C-3323 PK 0,4</t>
  </si>
  <si>
    <t>E.S. LEDESMA</t>
  </si>
  <si>
    <t>37100</t>
  </si>
  <si>
    <t>N-420A PK 231,6</t>
  </si>
  <si>
    <t>PM-719 PK 12,4</t>
  </si>
  <si>
    <t>07181</t>
  </si>
  <si>
    <t>EL TORIO</t>
  </si>
  <si>
    <t>LE-311 PK 26,4</t>
  </si>
  <si>
    <t>24830</t>
  </si>
  <si>
    <t>N-II PK 684</t>
  </si>
  <si>
    <t>N-601 PK 179,6</t>
  </si>
  <si>
    <t>47140</t>
  </si>
  <si>
    <t>FUENTE-ALAMO I</t>
  </si>
  <si>
    <t>MU-602A PK 19</t>
  </si>
  <si>
    <t>30320</t>
  </si>
  <si>
    <t>CAUTIVOS DE CONSTANTINOPLA, S/N</t>
  </si>
  <si>
    <t>07760</t>
  </si>
  <si>
    <t>C-721 PK 12,6</t>
  </si>
  <si>
    <t>07702</t>
  </si>
  <si>
    <t>N-323 PK 186</t>
  </si>
  <si>
    <t>N-630 PK 99,5</t>
  </si>
  <si>
    <t>24680</t>
  </si>
  <si>
    <t>N-120A PK 412,5</t>
  </si>
  <si>
    <t>N-541 PK 91,9</t>
  </si>
  <si>
    <t>36004</t>
  </si>
  <si>
    <t>TO-40 PK 15</t>
  </si>
  <si>
    <t>45686</t>
  </si>
  <si>
    <t>B-431 PK 53</t>
  </si>
  <si>
    <t>08279</t>
  </si>
  <si>
    <t>M-607 PK 13</t>
  </si>
  <si>
    <t>28049</t>
  </si>
  <si>
    <t>A-3 PK 345</t>
  </si>
  <si>
    <t>EX-206 PK 96,5</t>
  </si>
  <si>
    <t>N-322 PK 390,4</t>
  </si>
  <si>
    <t>02253</t>
  </si>
  <si>
    <t>N-430A PK 590</t>
  </si>
  <si>
    <t>LA BRUJULA</t>
  </si>
  <si>
    <t>N-I PK 259,5</t>
  </si>
  <si>
    <t>09292</t>
  </si>
  <si>
    <t>M-311 PK 10,5</t>
  </si>
  <si>
    <t>N-330 PK 616,7</t>
  </si>
  <si>
    <t>22621</t>
  </si>
  <si>
    <t>POLIGONO ALCODAR</t>
  </si>
  <si>
    <t>N-332 PK 224,3</t>
  </si>
  <si>
    <t>N-232 PK 133,3</t>
  </si>
  <si>
    <t>44600</t>
  </si>
  <si>
    <t>N-301A PK 208,5</t>
  </si>
  <si>
    <t>EX-100 PK 47</t>
  </si>
  <si>
    <t>06190</t>
  </si>
  <si>
    <t>N-420 PK 858</t>
  </si>
  <si>
    <t>AVDA MONFORTE DE LEMOS, 9</t>
  </si>
  <si>
    <t>28029</t>
  </si>
  <si>
    <t>N-VA PK 118,1</t>
  </si>
  <si>
    <t>45600</t>
  </si>
  <si>
    <t>CTRA. SIERRA NEVADA, 45</t>
  </si>
  <si>
    <t>18008</t>
  </si>
  <si>
    <t>N-VIA PK 302,6</t>
  </si>
  <si>
    <t>C-415 PK 58,2</t>
  </si>
  <si>
    <t>30430</t>
  </si>
  <si>
    <t>A-138 PK 46,9</t>
  </si>
  <si>
    <t>22330</t>
  </si>
  <si>
    <t>PA-904 PK 43,1</t>
  </si>
  <si>
    <t>34160</t>
  </si>
  <si>
    <t>41740</t>
  </si>
  <si>
    <t>N-113 PK 91,5</t>
  </si>
  <si>
    <t>CEDIPSA / LA PEDRESINA</t>
  </si>
  <si>
    <t>N-620 PK 348,1</t>
  </si>
  <si>
    <t>04650</t>
  </si>
  <si>
    <t>31830</t>
  </si>
  <si>
    <t>N-435 PK 95</t>
  </si>
  <si>
    <t>06340</t>
  </si>
  <si>
    <t>N-340A PK 496,6</t>
  </si>
  <si>
    <t>04270</t>
  </si>
  <si>
    <t>A-3 PK 141,3</t>
  </si>
  <si>
    <t>N-630 PK 250,6</t>
  </si>
  <si>
    <t>49743</t>
  </si>
  <si>
    <t>N-432 PK 41,7</t>
  </si>
  <si>
    <t>06150</t>
  </si>
  <si>
    <t>A-131 PK 41</t>
  </si>
  <si>
    <t>22230</t>
  </si>
  <si>
    <t>PLAZA DE COLON, S/N</t>
  </si>
  <si>
    <t>14001</t>
  </si>
  <si>
    <t>C-1412 PK 44</t>
  </si>
  <si>
    <t>25655</t>
  </si>
  <si>
    <t>FIGUEROLA DE ORCAU</t>
  </si>
  <si>
    <t>N-420 PK 103,3</t>
  </si>
  <si>
    <t>13130</t>
  </si>
  <si>
    <t>C-14 PK 156,5</t>
  </si>
  <si>
    <t>25793</t>
  </si>
  <si>
    <t>CIUDAD IBERA</t>
  </si>
  <si>
    <t>N-232 PK 180,8</t>
  </si>
  <si>
    <t>44590</t>
  </si>
  <si>
    <t>AZAILA</t>
  </si>
  <si>
    <t>A-224 PK 0,2</t>
  </si>
  <si>
    <t>44540</t>
  </si>
  <si>
    <t>CO-141 PK 7,6</t>
  </si>
  <si>
    <t>14740</t>
  </si>
  <si>
    <t>A-455 PK 0,5</t>
  </si>
  <si>
    <t>N-403 PK 17,3</t>
  </si>
  <si>
    <t>45524</t>
  </si>
  <si>
    <t>SANT SIMO</t>
  </si>
  <si>
    <t>N-II PK 647,9</t>
  </si>
  <si>
    <t>08301</t>
  </si>
  <si>
    <t>LC-147 PK 9,5</t>
  </si>
  <si>
    <t>28940</t>
  </si>
  <si>
    <t>14700</t>
  </si>
  <si>
    <t>MOZART, 24 ESQ. NAPOLES, 63</t>
  </si>
  <si>
    <t>08921</t>
  </si>
  <si>
    <t>C-341 PK 37,2</t>
  </si>
  <si>
    <t>29470</t>
  </si>
  <si>
    <t>A-384 PK 71</t>
  </si>
  <si>
    <t>29200</t>
  </si>
  <si>
    <t>RIAS BAJAS</t>
  </si>
  <si>
    <t>N-525 PK 56,6</t>
  </si>
  <si>
    <t>49310</t>
  </si>
  <si>
    <t>C-190 PK 3,7</t>
  </si>
  <si>
    <t>03540</t>
  </si>
  <si>
    <t>SOS BUTANO</t>
  </si>
  <si>
    <t>N-340A PK 831,5</t>
  </si>
  <si>
    <t>46839</t>
  </si>
  <si>
    <t>GUADASEQUIES</t>
  </si>
  <si>
    <t>M-516 PK 0,5</t>
  </si>
  <si>
    <t>N-340 PK 36,6</t>
  </si>
  <si>
    <t>11150</t>
  </si>
  <si>
    <t>N-432 PK 96</t>
  </si>
  <si>
    <t>06290</t>
  </si>
  <si>
    <t>AVDA. DE MADRID, 11</t>
  </si>
  <si>
    <t>N-330A PK 31,7</t>
  </si>
  <si>
    <t>EL GUIRNEY I</t>
  </si>
  <si>
    <t>A-31 PK 201,8</t>
  </si>
  <si>
    <t>03610</t>
  </si>
  <si>
    <t>A-31 PK 204,7</t>
  </si>
  <si>
    <t>A-31 PK 196</t>
  </si>
  <si>
    <t>36208</t>
  </si>
  <si>
    <t>SE-523 PK 0,5</t>
  </si>
  <si>
    <t>41870</t>
  </si>
  <si>
    <t>N-IVA PK 324</t>
  </si>
  <si>
    <t>C-13 PK 160,9</t>
  </si>
  <si>
    <t>25580</t>
  </si>
  <si>
    <t>ESTERRI DE ANEU</t>
  </si>
  <si>
    <t>07420</t>
  </si>
  <si>
    <t>EX-104 PK 37,2</t>
  </si>
  <si>
    <t>06420</t>
  </si>
  <si>
    <t>EX-114 PK 0,2</t>
  </si>
  <si>
    <t>06430</t>
  </si>
  <si>
    <t>GR-222 PK 0,7</t>
  </si>
  <si>
    <t>18260</t>
  </si>
  <si>
    <t>VIDAL RICO</t>
  </si>
  <si>
    <t>A-31 PK 220,3</t>
  </si>
  <si>
    <t>03670</t>
  </si>
  <si>
    <t>N-634 PK 603,2</t>
  </si>
  <si>
    <t>27730</t>
  </si>
  <si>
    <t>M-404 PK 17,8</t>
  </si>
  <si>
    <t>28971</t>
  </si>
  <si>
    <t>N-310 PK 120,5</t>
  </si>
  <si>
    <t>N-120A PK 43,2</t>
  </si>
  <si>
    <t>26257</t>
  </si>
  <si>
    <t>GE-612 PK 1</t>
  </si>
  <si>
    <t>17489</t>
  </si>
  <si>
    <t>NA-5555 PK 1,3</t>
  </si>
  <si>
    <t>31310</t>
  </si>
  <si>
    <t>CM-3203 PK 41,9</t>
  </si>
  <si>
    <t>02124</t>
  </si>
  <si>
    <t>N-501 PK 67</t>
  </si>
  <si>
    <t>37329</t>
  </si>
  <si>
    <t>LU-710 PK 16</t>
  </si>
  <si>
    <t>27130</t>
  </si>
  <si>
    <t>M-618 PK 16,8</t>
  </si>
  <si>
    <t>28240</t>
  </si>
  <si>
    <t>CM-4107 PK 16,2</t>
  </si>
  <si>
    <t>13260</t>
  </si>
  <si>
    <t>ZA-528 PK 0,3</t>
  </si>
  <si>
    <t>49027</t>
  </si>
  <si>
    <t>Z-103 PK 37</t>
  </si>
  <si>
    <t>50140</t>
  </si>
  <si>
    <t>CM-412 PK 58,8</t>
  </si>
  <si>
    <t>13270</t>
  </si>
  <si>
    <t>V-3067 PK 0,1</t>
  </si>
  <si>
    <t>46900</t>
  </si>
  <si>
    <t>N-120 PK 335,3</t>
  </si>
  <si>
    <t>24286</t>
  </si>
  <si>
    <t>VALCAVADO</t>
  </si>
  <si>
    <t>N-VI PK 291,3</t>
  </si>
  <si>
    <t>24790</t>
  </si>
  <si>
    <t>VALCAVADO DEL PARAMO</t>
  </si>
  <si>
    <t>SA-517 PK 68</t>
  </si>
  <si>
    <t>37210</t>
  </si>
  <si>
    <t>BU-910 PK 24,6</t>
  </si>
  <si>
    <t>09451</t>
  </si>
  <si>
    <t>A-4 PK 47,3</t>
  </si>
  <si>
    <t>alda</t>
  </si>
  <si>
    <t>A-358 PK 37,5</t>
  </si>
  <si>
    <t>LOS RAMOS</t>
  </si>
  <si>
    <t>MU-300 PK 10,5</t>
  </si>
  <si>
    <t>30589</t>
  </si>
  <si>
    <t>C-512 PK 53,4</t>
  </si>
  <si>
    <t>37760</t>
  </si>
  <si>
    <t>CV-10 PK 59,7</t>
  </si>
  <si>
    <t>12186</t>
  </si>
  <si>
    <t>NTRA. SRA DE FÁTIMA</t>
  </si>
  <si>
    <t>28047</t>
  </si>
  <si>
    <t>15570</t>
  </si>
  <si>
    <t>A-92 PK 280,6</t>
  </si>
  <si>
    <t>N-234A PK 3,2</t>
  </si>
  <si>
    <t>CAZALEGAS</t>
  </si>
  <si>
    <t>N-VA PK 108,7</t>
  </si>
  <si>
    <t>45683</t>
  </si>
  <si>
    <t>E.S. ZALLA</t>
  </si>
  <si>
    <t>48860</t>
  </si>
  <si>
    <t>N-431 PK 116,5</t>
  </si>
  <si>
    <t>N-310A PK 131,5</t>
  </si>
  <si>
    <t>M-413 PK 3,8</t>
  </si>
  <si>
    <t>28950</t>
  </si>
  <si>
    <t>SE-460 PK 24</t>
  </si>
  <si>
    <t>41650</t>
  </si>
  <si>
    <t>A-384 PK 44</t>
  </si>
  <si>
    <t>29330</t>
  </si>
  <si>
    <t>AVDA. PINTOR GASTON CASTELLO, 58</t>
  </si>
  <si>
    <t>03014</t>
  </si>
  <si>
    <t>N-VA PK 251,8</t>
  </si>
  <si>
    <t>N-432 PK 337</t>
  </si>
  <si>
    <t>14850</t>
  </si>
  <si>
    <t>CC-L PK 8</t>
  </si>
  <si>
    <t>10252</t>
  </si>
  <si>
    <t>17200</t>
  </si>
  <si>
    <t>21300</t>
  </si>
  <si>
    <t>N-431 PK 104</t>
  </si>
  <si>
    <t>21450</t>
  </si>
  <si>
    <t>EL RONQUILLO</t>
  </si>
  <si>
    <t>N-630 PK 769,6</t>
  </si>
  <si>
    <t>41880</t>
  </si>
  <si>
    <t>A-8006 PK 13,6</t>
  </si>
  <si>
    <t>41200</t>
  </si>
  <si>
    <t>N-IVA PK 510,3</t>
  </si>
  <si>
    <t>N-IV PK 594,8</t>
  </si>
  <si>
    <t>GU-124 PK 1</t>
  </si>
  <si>
    <t>19004</t>
  </si>
  <si>
    <t>STORE-1</t>
  </si>
  <si>
    <t>GRAMIL, 2 - P.I. STORE, PARCELA E-2</t>
  </si>
  <si>
    <t>T-310 PK 17,4</t>
  </si>
  <si>
    <t>43570</t>
  </si>
  <si>
    <t>MA-465 PK 2</t>
  </si>
  <si>
    <t>29327</t>
  </si>
  <si>
    <t>MA-455 PK 1,1</t>
  </si>
  <si>
    <t>29328</t>
  </si>
  <si>
    <t>04009</t>
  </si>
  <si>
    <t>LOS CLAVELES I</t>
  </si>
  <si>
    <t>N-VI PK 504</t>
  </si>
  <si>
    <t>27003</t>
  </si>
  <si>
    <t>N-I PK 450,6</t>
  </si>
  <si>
    <t>20160</t>
  </si>
  <si>
    <t>N-340 PK 260</t>
  </si>
  <si>
    <t>29790</t>
  </si>
  <si>
    <t>LC-541 PK 3</t>
  </si>
  <si>
    <t>CM-3203 PK 70,6</t>
  </si>
  <si>
    <t>02480</t>
  </si>
  <si>
    <t>N-621 PK 98</t>
  </si>
  <si>
    <t>24900</t>
  </si>
  <si>
    <t>PONPRESA</t>
  </si>
  <si>
    <t>N-550 PK 32,7</t>
  </si>
  <si>
    <t>AB-2 PK 5</t>
  </si>
  <si>
    <t>02049</t>
  </si>
  <si>
    <t>C-240 PK 89</t>
  </si>
  <si>
    <t>25310</t>
  </si>
  <si>
    <t>C-415 PK 56,8</t>
  </si>
  <si>
    <t>ADEMUZ</t>
  </si>
  <si>
    <t>N-330 PK 272</t>
  </si>
  <si>
    <t>46140</t>
  </si>
  <si>
    <t>ANTIGUO REINO DE VALENCIA, 83</t>
  </si>
  <si>
    <t>46005</t>
  </si>
  <si>
    <t>SE-220 PK 14,6</t>
  </si>
  <si>
    <t>41420</t>
  </si>
  <si>
    <t>SE-120 PK 5</t>
  </si>
  <si>
    <t>41318</t>
  </si>
  <si>
    <t>N-260 PK 1</t>
  </si>
  <si>
    <t>HERMANOS GARCIA CERVERA</t>
  </si>
  <si>
    <t>06360</t>
  </si>
  <si>
    <t>C-183 PK 0,6</t>
  </si>
  <si>
    <t>19220</t>
  </si>
  <si>
    <t>HUMANES DE MOHERNANDO</t>
  </si>
  <si>
    <t>N-331 PK 45</t>
  </si>
  <si>
    <t>N-331 PK 53,3</t>
  </si>
  <si>
    <t>14920</t>
  </si>
  <si>
    <t>A-92A PK 338,6</t>
  </si>
  <si>
    <t>04510</t>
  </si>
  <si>
    <t>A-92 PK 1,3</t>
  </si>
  <si>
    <t>41016</t>
  </si>
  <si>
    <t>SE-600 PK 1</t>
  </si>
  <si>
    <t>41920</t>
  </si>
  <si>
    <t>SAN JUAN DE AZNALFARACHE</t>
  </si>
  <si>
    <t>N-IVA PK 660,8</t>
  </si>
  <si>
    <t>11510</t>
  </si>
  <si>
    <t>C-127 PK 1</t>
  </si>
  <si>
    <t>50695</t>
  </si>
  <si>
    <t>MA-19 PK 10,2</t>
  </si>
  <si>
    <t>07199</t>
  </si>
  <si>
    <t>N-632 PK 60,7</t>
  </si>
  <si>
    <t>N-340A PK 555,5</t>
  </si>
  <si>
    <t>N-430A PK 548,5</t>
  </si>
  <si>
    <t>N-620 PK 291,6</t>
  </si>
  <si>
    <t>37200</t>
  </si>
  <si>
    <t>N-IV PK 538,3</t>
  </si>
  <si>
    <t>N-240 PK 303,5</t>
  </si>
  <si>
    <t>22751</t>
  </si>
  <si>
    <t>SANTA ENGRACIA DE JACA</t>
  </si>
  <si>
    <t>C-546 PK 25</t>
  </si>
  <si>
    <t>27600</t>
  </si>
  <si>
    <t>CM-412 PK 195,2</t>
  </si>
  <si>
    <t>02450</t>
  </si>
  <si>
    <t>A-2 PK 51,4</t>
  </si>
  <si>
    <t>SA-322 PK 18,8</t>
  </si>
  <si>
    <t>37260</t>
  </si>
  <si>
    <t>N-630 PK 665,4</t>
  </si>
  <si>
    <t>LA PONDEROSA</t>
  </si>
  <si>
    <t>A-92 PK 24</t>
  </si>
  <si>
    <t>N-122 PK 426,6</t>
  </si>
  <si>
    <t>49800</t>
  </si>
  <si>
    <t>LA TRINIDAD</t>
  </si>
  <si>
    <t>C-17 PK 7,5</t>
  </si>
  <si>
    <t>08033</t>
  </si>
  <si>
    <t>C-59 PK 25,5</t>
  </si>
  <si>
    <t>08189</t>
  </si>
  <si>
    <t>SAN QUIRICO SAFAJA</t>
  </si>
  <si>
    <t>TO-15 PK 41</t>
  </si>
  <si>
    <t>45008</t>
  </si>
  <si>
    <t>PO-325 PK 5,8</t>
  </si>
  <si>
    <t>36390</t>
  </si>
  <si>
    <t>B-521 PK 0,8</t>
  </si>
  <si>
    <t>08500</t>
  </si>
  <si>
    <t>CAMINO DE RONDA, 117</t>
  </si>
  <si>
    <t>18003</t>
  </si>
  <si>
    <t>AVDA. DE LIBIA, 34</t>
  </si>
  <si>
    <t>14007</t>
  </si>
  <si>
    <t>JV-3004 PK 1</t>
  </si>
  <si>
    <t>06810</t>
  </si>
  <si>
    <t>N-401A PK 164,8</t>
  </si>
  <si>
    <t>13420</t>
  </si>
  <si>
    <t>N-634 PK 409,5</t>
  </si>
  <si>
    <t>33006</t>
  </si>
  <si>
    <t>M-604 PK 24,2</t>
  </si>
  <si>
    <t>28740</t>
  </si>
  <si>
    <t>CV-35 PK 7,7</t>
  </si>
  <si>
    <t>46980</t>
  </si>
  <si>
    <t>A-340 PK 70,8</t>
  </si>
  <si>
    <t>14800</t>
  </si>
  <si>
    <t>07640</t>
  </si>
  <si>
    <t>BV-1224 PK 7,2</t>
  </si>
  <si>
    <t>08254</t>
  </si>
  <si>
    <t>SERVALLS</t>
  </si>
  <si>
    <t>VV-6004 PK 3</t>
  </si>
  <si>
    <t>12570</t>
  </si>
  <si>
    <t>M-224 PK 8,9</t>
  </si>
  <si>
    <t>28511</t>
  </si>
  <si>
    <t>VV-6024 PK 3,4</t>
  </si>
  <si>
    <t>46113</t>
  </si>
  <si>
    <t>07650</t>
  </si>
  <si>
    <t>SANTAÑY</t>
  </si>
  <si>
    <t>AVDA. MIRAFLORES, 12</t>
  </si>
  <si>
    <t>48004</t>
  </si>
  <si>
    <t>LOESSA II</t>
  </si>
  <si>
    <t>MIRALCAMPO II</t>
  </si>
  <si>
    <t>LA CAMPANETA II</t>
  </si>
  <si>
    <t>MOLINA DE ARAGON I</t>
  </si>
  <si>
    <t>EL LORETO II</t>
  </si>
  <si>
    <t>A-92 PK 209,7</t>
  </si>
  <si>
    <t>18370</t>
  </si>
  <si>
    <t>MORALEDA DE ZAFAYONA</t>
  </si>
  <si>
    <t>BERRIZ I</t>
  </si>
  <si>
    <t>COMTES D'URGELL II</t>
  </si>
  <si>
    <t>TORREHIERRO II</t>
  </si>
  <si>
    <t>ALGIMA II</t>
  </si>
  <si>
    <t>SANT JORDI II</t>
  </si>
  <si>
    <t>28934</t>
  </si>
  <si>
    <t>GASOLI II</t>
  </si>
  <si>
    <t>CTRA. N-121, KM. 9,400 (DIRECC. PAMPLONA)</t>
  </si>
  <si>
    <t>PASEO CRISTOBAL COLON, S/N</t>
  </si>
  <si>
    <t>ZURBARAN, 2 - CAMPANARIO, 2</t>
  </si>
  <si>
    <t>JUAN DE TOLEDO, 8</t>
  </si>
  <si>
    <t>RIBEIRÃO</t>
  </si>
  <si>
    <t>RUA ADELINO COSTA CAMPOS, N.º 57</t>
  </si>
  <si>
    <t>4760-791</t>
  </si>
  <si>
    <t>VILA NOVA DE FAMALICAO</t>
  </si>
  <si>
    <t>BRAGA</t>
  </si>
  <si>
    <t>OLHÃO I</t>
  </si>
  <si>
    <t>ESTRADA NACIONAL Nº 125, PINHEIROS DE MARIM</t>
  </si>
  <si>
    <t>8700-134</t>
  </si>
  <si>
    <t>OLHAO</t>
  </si>
  <si>
    <t>GONDOMAR I</t>
  </si>
  <si>
    <t xml:space="preserve">AV. CARVALHA, 662, FANZERES        </t>
  </si>
  <si>
    <t>4510-518</t>
  </si>
  <si>
    <t>GONDOMAR</t>
  </si>
  <si>
    <t>PORTO</t>
  </si>
  <si>
    <t>LAVRA</t>
  </si>
  <si>
    <t>RUA DR. JOSÉ DOMINGOS SANTOS, 775, LAVRA</t>
  </si>
  <si>
    <t>4450-008</t>
  </si>
  <si>
    <t>MATOSINHOS</t>
  </si>
  <si>
    <t>MOITA</t>
  </si>
  <si>
    <t>AV. 1º DE MAIO, VALE AMOREIRA</t>
  </si>
  <si>
    <t>2830-204</t>
  </si>
  <si>
    <t>SETUBAL</t>
  </si>
  <si>
    <t>VILA REAL I</t>
  </si>
  <si>
    <t xml:space="preserve">AV. DA NORUEGA, </t>
  </si>
  <si>
    <t>5000-508</t>
  </si>
  <si>
    <t>VILA REAL</t>
  </si>
  <si>
    <t>BRAGANÇA I</t>
  </si>
  <si>
    <t>ALTA DAS CANTARIAS, ESTRADA NACIONAL Nº 15, KM 240, SAMIL</t>
  </si>
  <si>
    <t>5300-254</t>
  </si>
  <si>
    <t>BRAGANÇA</t>
  </si>
  <si>
    <t>AMADORA</t>
  </si>
  <si>
    <t>CRUZAMENTO RUA DOS PLATANOS A-DA-BEJA</t>
  </si>
  <si>
    <t>2650-087</t>
  </si>
  <si>
    <t>ALMEIRIM</t>
  </si>
  <si>
    <t>RUA DE CORUCHE</t>
  </si>
  <si>
    <t>2080-094</t>
  </si>
  <si>
    <t>SANTAREM</t>
  </si>
  <si>
    <t>ALPORCHINHOS</t>
  </si>
  <si>
    <t>SENHORA DA ROCHA</t>
  </si>
  <si>
    <t>8400-450</t>
  </si>
  <si>
    <t>LAGOA</t>
  </si>
  <si>
    <t>FERREIRA DO ZÊZERE</t>
  </si>
  <si>
    <t xml:space="preserve">RUA BRIGADEIRO LINO VALENTE     </t>
  </si>
  <si>
    <t>2240-348</t>
  </si>
  <si>
    <t>FERREIRA DO ZEZERE</t>
  </si>
  <si>
    <t>PENAFIEL</t>
  </si>
  <si>
    <t>AV. PEDRO GUEDES</t>
  </si>
  <si>
    <t>4560-452</t>
  </si>
  <si>
    <t>PORTO DE LAGOS</t>
  </si>
  <si>
    <t xml:space="preserve">RASMALHO, VALE PESSEGUEIRO </t>
  </si>
  <si>
    <t>8500-835</t>
  </si>
  <si>
    <t>PORTIMAO</t>
  </si>
  <si>
    <t>AVINTES</t>
  </si>
  <si>
    <t>RUA 5 OUTUBRO, 2313, AVINTES, VILA NOVA DE GAIA</t>
  </si>
  <si>
    <t>4431-801</t>
  </si>
  <si>
    <t>VILA NOVA DE GAIA</t>
  </si>
  <si>
    <t>GERÊS</t>
  </si>
  <si>
    <t>LUGAR DE ALQUEIRÃO 635, ESTRADA NACIONAL 205-5, KM 1,  VILAR DA VEIGA,</t>
  </si>
  <si>
    <t>4845-062</t>
  </si>
  <si>
    <t>TERRAS DE BOURO</t>
  </si>
  <si>
    <t>CARVOEIRO</t>
  </si>
  <si>
    <t>ESTRADA NACIONAL 124, KM 10,7, CARVOEIRO</t>
  </si>
  <si>
    <t>8400-524</t>
  </si>
  <si>
    <t>COMPORTA</t>
  </si>
  <si>
    <t>E.N. 261, KM 1,2</t>
  </si>
  <si>
    <t>7580-621</t>
  </si>
  <si>
    <t>ALCACER DO SAL</t>
  </si>
  <si>
    <t>FOGUETEIRO</t>
  </si>
  <si>
    <t>ESTRADA NACIONAL 10, KM 10,330, LUGAR DE RIO JUDEU, FOGUETEIRO</t>
  </si>
  <si>
    <t>2845-591</t>
  </si>
  <si>
    <t>SEIXAL</t>
  </si>
  <si>
    <t>FREAMUNDE</t>
  </si>
  <si>
    <t>RUA DONA MERCEDES DE BARROS S/N</t>
  </si>
  <si>
    <t>4590-403</t>
  </si>
  <si>
    <t>PAÇOS DE FERREIRA</t>
  </si>
  <si>
    <t>LABRUGE (GUI/FAM)</t>
  </si>
  <si>
    <t xml:space="preserve">LUGAR DE LABRUGE          </t>
  </si>
  <si>
    <t>4770-254</t>
  </si>
  <si>
    <t>OVAR I</t>
  </si>
  <si>
    <t>RUA AQUILINO RIBEIRO</t>
  </si>
  <si>
    <t>3880-151</t>
  </si>
  <si>
    <t>OVAR</t>
  </si>
  <si>
    <t>AVEIRO</t>
  </si>
  <si>
    <t>TONDELA</t>
  </si>
  <si>
    <t xml:space="preserve">ALTO DO PENDÄO            </t>
  </si>
  <si>
    <t>3460-595</t>
  </si>
  <si>
    <t>VISEU</t>
  </si>
  <si>
    <t>VILA FRANCA DE XIRA</t>
  </si>
  <si>
    <t>AVENIDA GAGO COUTINHO, 20</t>
  </si>
  <si>
    <t>2600-017</t>
  </si>
  <si>
    <t>CASTELO DE PAIVA</t>
  </si>
  <si>
    <t>RUA DA BOA VISTA - SOBRADO DE PAIVA</t>
  </si>
  <si>
    <t>4550-364</t>
  </si>
  <si>
    <t>FORJÃES</t>
  </si>
  <si>
    <t>ESTRADA NACIONAL 103 - BARCELOS/VIANA, AV. RODRIGUES FARIA, Nº 314,</t>
  </si>
  <si>
    <t>4740-438</t>
  </si>
  <si>
    <t>ESPOSENDE</t>
  </si>
  <si>
    <t>CAIXAS</t>
  </si>
  <si>
    <t>EN Nº 377, KM 36</t>
  </si>
  <si>
    <t>2970-005</t>
  </si>
  <si>
    <t>SESIMBRA</t>
  </si>
  <si>
    <t>MERCADO ABASTECEDOR</t>
  </si>
  <si>
    <t>RUA CHAVES OLIVEIRA</t>
  </si>
  <si>
    <t>4000-005</t>
  </si>
  <si>
    <t>OPORTO</t>
  </si>
  <si>
    <t>SILVES</t>
  </si>
  <si>
    <t xml:space="preserve">ESTRADA NACIONAL 269, FIGUEIRAL      </t>
  </si>
  <si>
    <t>8300-027</t>
  </si>
  <si>
    <t>VOUZELA</t>
  </si>
  <si>
    <t>EN 333 AO KM 1,200, LUGAR DE PAREDES VELHAS, CAMBRAS</t>
  </si>
  <si>
    <t>3670-049</t>
  </si>
  <si>
    <t>LISBOA-ALVALADE</t>
  </si>
  <si>
    <t xml:space="preserve">AV. DA IGREJA, Nº 37 E, ALVALADE </t>
  </si>
  <si>
    <t>1700-233</t>
  </si>
  <si>
    <t>ÁGUEDA</t>
  </si>
  <si>
    <t>RUA JOÃO BAPTISTA, TRAVASSÔ</t>
  </si>
  <si>
    <t>3750-755</t>
  </si>
  <si>
    <t>AGUEDA</t>
  </si>
  <si>
    <t>LOURO</t>
  </si>
  <si>
    <t xml:space="preserve">RUA PADRE DOMINGOS JOAQUIM PEREIRA, Nº 1050 </t>
  </si>
  <si>
    <t>4760-563</t>
  </si>
  <si>
    <t>VALONGO</t>
  </si>
  <si>
    <t>R. FONSECA DIAS, LUGAR DE ESPINHEIRO</t>
  </si>
  <si>
    <t>4440-652</t>
  </si>
  <si>
    <t>VILAR DO PINHEIRO</t>
  </si>
  <si>
    <t>E.N. 13, LARGO IGREJA, VILAR PINHEIRO</t>
  </si>
  <si>
    <t>4485-860</t>
  </si>
  <si>
    <t>VILA DO CONDE</t>
  </si>
  <si>
    <t>MARGINAL</t>
  </si>
  <si>
    <t>AV. PAIVA COUCEIRO</t>
  </si>
  <si>
    <t>4300-385</t>
  </si>
  <si>
    <t>BURGÃES</t>
  </si>
  <si>
    <t>RUA DA RAMADA, 375</t>
  </si>
  <si>
    <t>4780-144</t>
  </si>
  <si>
    <t>SANTO TIRSO</t>
  </si>
  <si>
    <t>RUA SÃO JOÃO DE SOBRADO, N 3300, ESTRADA NACIONAL 209, SOBRADO DE CIMA</t>
  </si>
  <si>
    <t>4440-339</t>
  </si>
  <si>
    <t>BEJA</t>
  </si>
  <si>
    <t>ESTRADA DAS APOLINÁRIAS, S/ Nº</t>
  </si>
  <si>
    <t>7800-050</t>
  </si>
  <si>
    <t>CACHOPO</t>
  </si>
  <si>
    <t xml:space="preserve">ESTRADA NACIONAL 397, KM 0,5         </t>
  </si>
  <si>
    <t>8800-014</t>
  </si>
  <si>
    <t>TAVIRA</t>
  </si>
  <si>
    <t>REBORDOSA</t>
  </si>
  <si>
    <t xml:space="preserve">AVª DOS BOMBEIROS VOLUNTÁRIOS, LUGAR ABOIM </t>
  </si>
  <si>
    <t>4585-309</t>
  </si>
  <si>
    <t>PAREDES</t>
  </si>
  <si>
    <t>CUCUJÃES</t>
  </si>
  <si>
    <t>LUGAR DE FERMIL, VILA DE CUCUJÃES</t>
  </si>
  <si>
    <t>3720-913</t>
  </si>
  <si>
    <t>OLIVEIRA DE AZEMEIS</t>
  </si>
  <si>
    <t>SERRA D'EL REI</t>
  </si>
  <si>
    <t>AV. DA LIBERDADE, Nº 115, ESTRADA NACIONAL 114, SERRA D EL REI</t>
  </si>
  <si>
    <t>2525-801</t>
  </si>
  <si>
    <t>PENICHE</t>
  </si>
  <si>
    <t>LEIRIA</t>
  </si>
  <si>
    <t>AVENIDA DOS BOMBEIROS VOLUNTÁRIOS, CASTELÕES DE CEPEDA</t>
  </si>
  <si>
    <t>4580-006</t>
  </si>
  <si>
    <t>PEGÕES VELHOS</t>
  </si>
  <si>
    <t>ESTRADA NACIONAL 4, KM 34, LOJA NOVA, MONTE ALEGRE</t>
  </si>
  <si>
    <t>2965-281</t>
  </si>
  <si>
    <t>PALMELA</t>
  </si>
  <si>
    <t>CINFÃES</t>
  </si>
  <si>
    <t xml:space="preserve">LUGAR DE QUINTELA         </t>
  </si>
  <si>
    <t>4690-058</t>
  </si>
  <si>
    <t>CINFAES</t>
  </si>
  <si>
    <t>FERREIRA DO ALENTEJO</t>
  </si>
  <si>
    <t>EN-121</t>
  </si>
  <si>
    <t>7900-000</t>
  </si>
  <si>
    <t>AZERVADINHA</t>
  </si>
  <si>
    <t>ESTRADA NACIONAL 251, Nº 39, QUINTA DE SÃO JOÃO, AZERVADINHA</t>
  </si>
  <si>
    <t>2100-016</t>
  </si>
  <si>
    <t>CORUCHE</t>
  </si>
  <si>
    <t>FERREIRAS (FAR/LGS)</t>
  </si>
  <si>
    <t>CORTESÕES, E.N.125, KM3,2</t>
  </si>
  <si>
    <t>8200-557</t>
  </si>
  <si>
    <t>ALBUFEIRA</t>
  </si>
  <si>
    <t>IP3 (CBR/VIS)</t>
  </si>
  <si>
    <t>IP 3, LANÇO CHAMADOURO - RAIVA (ANTIGA EN2), KM 222,100</t>
  </si>
  <si>
    <t>3440-070</t>
  </si>
  <si>
    <t>SANTA COMBA DAO</t>
  </si>
  <si>
    <t>BRAGANCA II</t>
  </si>
  <si>
    <t>AV. CIDADE DE ZAMORA</t>
  </si>
  <si>
    <t>5300-111</t>
  </si>
  <si>
    <t>COIMBRA I</t>
  </si>
  <si>
    <t>AV. DA GUARDA INGLESA</t>
  </si>
  <si>
    <t>3040-000</t>
  </si>
  <si>
    <t>COIMBRA</t>
  </si>
  <si>
    <t>GUEIFÃES</t>
  </si>
  <si>
    <t>AV. DR. GERMANO VIEIRA, 559</t>
  </si>
  <si>
    <t>4470-006</t>
  </si>
  <si>
    <t>MAIA</t>
  </si>
  <si>
    <t>CHAVES</t>
  </si>
  <si>
    <t>AV. DOM JOÃO I, ROTUNDA RAIO X</t>
  </si>
  <si>
    <t>5400-011</t>
  </si>
  <si>
    <t>CUSTOIAS</t>
  </si>
  <si>
    <t>RUA MONTE DOS PIPOS, Nº 40, CUSTOIAS</t>
  </si>
  <si>
    <t>4465-000</t>
  </si>
  <si>
    <t>CASCAIS SHOPPING</t>
  </si>
  <si>
    <t>E.N. 9, ALCABIDECHE, EST.CASCAISHOPPING</t>
  </si>
  <si>
    <t>2765-543</t>
  </si>
  <si>
    <t>CASCAIS</t>
  </si>
  <si>
    <t>MARCO DE CANAVESES</t>
  </si>
  <si>
    <t>RUA MANUEL PEREIRA SOARES, 711, TUIAS , MARCO DE CANAVESES</t>
  </si>
  <si>
    <t>4630-296</t>
  </si>
  <si>
    <t>DRAMÁTICO CASCAIS</t>
  </si>
  <si>
    <t>EN 9, LUGAR DA ABUXARDA, PAI DO VENTO</t>
  </si>
  <si>
    <t>2750-001</t>
  </si>
  <si>
    <t>A3 BARCELOS (POR/VAL)</t>
  </si>
  <si>
    <t xml:space="preserve">AE-3 AUTO EST. PORTO/VALENÇA, SUB LANÇO BRAGA/EN201, </t>
  </si>
  <si>
    <t>4750-058</t>
  </si>
  <si>
    <t>BARCELOS</t>
  </si>
  <si>
    <t>MARINA DE CASCAIS</t>
  </si>
  <si>
    <t>PORTO DA MARINA DE CASCAIS</t>
  </si>
  <si>
    <t>2750-800</t>
  </si>
  <si>
    <t>A6 ESTREMOZ (ELV/LIS)</t>
  </si>
  <si>
    <t>AE-6 PK 23</t>
  </si>
  <si>
    <t>7100-108</t>
  </si>
  <si>
    <t>ESTREMOZ</t>
  </si>
  <si>
    <t>EVORA</t>
  </si>
  <si>
    <t>FÁTIMA</t>
  </si>
  <si>
    <t>AV. D.JOSÉ ALVES CORREIA DA SILVA</t>
  </si>
  <si>
    <t>2495-402</t>
  </si>
  <si>
    <t>OUREM</t>
  </si>
  <si>
    <t>LOULÉ</t>
  </si>
  <si>
    <t>ZONA INDÚSTRIAL, LOTE 1</t>
  </si>
  <si>
    <t>8100-272</t>
  </si>
  <si>
    <t>LOULE</t>
  </si>
  <si>
    <t>SANFINS DO DOURO</t>
  </si>
  <si>
    <t xml:space="preserve">ESTRADA NACIONAL 323-1, </t>
  </si>
  <si>
    <t>5070-351</t>
  </si>
  <si>
    <t>ALIJO</t>
  </si>
  <si>
    <t>PORTALEGRE</t>
  </si>
  <si>
    <t>AV. DA ESTREMADURA ESPANHOLA Nº 37</t>
  </si>
  <si>
    <t>7301-901</t>
  </si>
  <si>
    <t>FRONTEIRA</t>
  </si>
  <si>
    <t>ZONA INDUSTRIAL DE FRONTEIRA, LOTE 43</t>
  </si>
  <si>
    <t>7460-263</t>
  </si>
  <si>
    <t>OLHÃO II</t>
  </si>
  <si>
    <t>ZONA INDÚSTRIAL, LOTE 233</t>
  </si>
  <si>
    <t>8700-281</t>
  </si>
  <si>
    <t>SANTA MARIA DA FEIRA</t>
  </si>
  <si>
    <t xml:space="preserve">AV. 5 DE OUTUBRO,Stª.M.FEIRA           </t>
  </si>
  <si>
    <t>4524-909</t>
  </si>
  <si>
    <t>MIRA DE AIRE</t>
  </si>
  <si>
    <t>RUA GENERAL HUMBERTO DELGADO, E.N. 243</t>
  </si>
  <si>
    <t>2485-126</t>
  </si>
  <si>
    <t>PORTO DE MOS</t>
  </si>
  <si>
    <t>CARVALHOS</t>
  </si>
  <si>
    <t>AV. DR. MOREIRA DE SOUSA  PEDROSO</t>
  </si>
  <si>
    <t>4415-382</t>
  </si>
  <si>
    <t>ALCANENA</t>
  </si>
  <si>
    <t>AVª MARQUÊS DE POMBAL, 543</t>
  </si>
  <si>
    <t>2380-017</t>
  </si>
  <si>
    <t>BARROSAS</t>
  </si>
  <si>
    <t>LUGAR DA RAPADIÇA, BARROSAS</t>
  </si>
  <si>
    <t>4650-373</t>
  </si>
  <si>
    <t>FELGUEIRAS</t>
  </si>
  <si>
    <t>COVILHÃ</t>
  </si>
  <si>
    <t>ALAMEDA PÊRO DA COVILHÃ, QUINTA DA OLIVOSA,</t>
  </si>
  <si>
    <t>6200-507</t>
  </si>
  <si>
    <t>COVILHA</t>
  </si>
  <si>
    <t>CASTELO BRANCO</t>
  </si>
  <si>
    <t>VIEIRA DE LEIRIA</t>
  </si>
  <si>
    <t>RUA DE LEIRIA Nº 30</t>
  </si>
  <si>
    <t>2430-773</t>
  </si>
  <si>
    <t>MARINHA GRANDE</t>
  </si>
  <si>
    <t>SOBREIRA</t>
  </si>
  <si>
    <t xml:space="preserve">RUA DO ARCO, Nº 165, SOBREIRA </t>
  </si>
  <si>
    <t>4585-689</t>
  </si>
  <si>
    <t>JOANE</t>
  </si>
  <si>
    <t xml:space="preserve">AVª DR. MÁRIO SOARES, 2234 </t>
  </si>
  <si>
    <t>4770-260</t>
  </si>
  <si>
    <t>GUIMARÃES</t>
  </si>
  <si>
    <t>RUA NOSSA SENHORA DA CONCEIÇAO</t>
  </si>
  <si>
    <t>4800-167</t>
  </si>
  <si>
    <t>GUIMARAES</t>
  </si>
  <si>
    <t>QUARTEIRA</t>
  </si>
  <si>
    <t>VARZEA ALMARGEM, FONTE SANTA</t>
  </si>
  <si>
    <t>8125-306</t>
  </si>
  <si>
    <t>TORRES NOVAS</t>
  </si>
  <si>
    <t>AV. 8 DE JULHO,</t>
  </si>
  <si>
    <t>2350-724</t>
  </si>
  <si>
    <t>MACEDA (OVR/MCD)</t>
  </si>
  <si>
    <t>ESTRADA NACIONAL Nº 109, LUGAR DA PARDALA</t>
  </si>
  <si>
    <t>3880-100</t>
  </si>
  <si>
    <t>SEQUEADE</t>
  </si>
  <si>
    <t xml:space="preserve">Av. Sequeade, n.º 39, </t>
  </si>
  <si>
    <t>4755-516</t>
  </si>
  <si>
    <t>VIDIGUEIRA</t>
  </si>
  <si>
    <t>LARGO FREI ANTONIO DAS CHAGAS</t>
  </si>
  <si>
    <t>7960-220</t>
  </si>
  <si>
    <t>VILARANDELO</t>
  </si>
  <si>
    <t xml:space="preserve">ESTRADA NACIONAL. 213, Nº 2, LUGAR DE SÁ, </t>
  </si>
  <si>
    <t>5430-075</t>
  </si>
  <si>
    <t>VALPACOS</t>
  </si>
  <si>
    <t>CABAÇOS</t>
  </si>
  <si>
    <t xml:space="preserve">VARIANTE DE CABAÇOS, ESTRADA NACIONAL Nº 110, KM 71.54, PUSSOS, </t>
  </si>
  <si>
    <t>3250-059</t>
  </si>
  <si>
    <t>ALVAIAZARE</t>
  </si>
  <si>
    <t>NEGRAIS</t>
  </si>
  <si>
    <t>AV. GENERAL BARNABÉ ANTÓNIO FERREIRA, 175 (EM 545), NEGRAIS</t>
  </si>
  <si>
    <t>2715-315</t>
  </si>
  <si>
    <t>SINTRA</t>
  </si>
  <si>
    <t>SANTAR</t>
  </si>
  <si>
    <t>E.N. 231, RECTA CASAL SANCHO</t>
  </si>
  <si>
    <t>3520-111</t>
  </si>
  <si>
    <t>NELAS</t>
  </si>
  <si>
    <t>PORTO -  SÃO DINIS</t>
  </si>
  <si>
    <t>RUA SÃO DINIS, Nº 296</t>
  </si>
  <si>
    <t>4250-427</t>
  </si>
  <si>
    <t>CHAVES - AV  GALIZA</t>
  </si>
  <si>
    <t>AV. GALIZA</t>
  </si>
  <si>
    <t>5400-293</t>
  </si>
  <si>
    <t>PÓVOA SANTARÉM</t>
  </si>
  <si>
    <t>EN-3, PK 46.6 - POVOA DE SANTAREM</t>
  </si>
  <si>
    <t>2000-011</t>
  </si>
  <si>
    <t>TOMAR</t>
  </si>
  <si>
    <t>AV. D. NUNO ALVARES PEREIRA, 50-60, LUGAR DE SÃO LOURENÇO</t>
  </si>
  <si>
    <t>2300-532</t>
  </si>
  <si>
    <t>VILA REAL III</t>
  </si>
  <si>
    <t>QUINTA DO ENTRONCAMENTO, LOTE 16</t>
  </si>
  <si>
    <t>5000-047</t>
  </si>
  <si>
    <t>VILA VERDE</t>
  </si>
  <si>
    <t>EN-101, PK 79.9</t>
  </si>
  <si>
    <t>4730-000</t>
  </si>
  <si>
    <t>PENELA</t>
  </si>
  <si>
    <t>ESTRADA MUNICIPAL 558 ZONA INDUSTRIAL PENELA</t>
  </si>
  <si>
    <t>3230-247</t>
  </si>
  <si>
    <t>ARCOS DE VALDEVEZ</t>
  </si>
  <si>
    <t>LUGAR DE ESTANQUE PROZELO - EN-101</t>
  </si>
  <si>
    <t>4970-825</t>
  </si>
  <si>
    <t>VIANA DO CASTELO</t>
  </si>
  <si>
    <t>MARCO CANAVESES ¿ SOALHÃES</t>
  </si>
  <si>
    <t>RUA RECHÃO DA FORCA N 321-1 KM 8.58</t>
  </si>
  <si>
    <t>4630-000</t>
  </si>
  <si>
    <t>CORTEGAÇA - OVAR</t>
  </si>
  <si>
    <t>RUA 13 DE MAIO, 1142-1146</t>
  </si>
  <si>
    <t>3885-229</t>
  </si>
  <si>
    <t>ROMARIZ-FEIRA</t>
  </si>
  <si>
    <t>RUA VARIANTE, 181</t>
  </si>
  <si>
    <t>3700-904</t>
  </si>
  <si>
    <t>LOUREDO - SANTA MARIA DA FEIRA</t>
  </si>
  <si>
    <t>ESTRADA NACIONAL 326, KM 16,600</t>
  </si>
  <si>
    <t>4525-353</t>
  </si>
  <si>
    <t>VENDAS NOVAS - LOUROSA</t>
  </si>
  <si>
    <t>AV PRINCIPAL, ESTRADA NACIONAL 1, KM 285, Nº 550</t>
  </si>
  <si>
    <t>4535-013</t>
  </si>
  <si>
    <t>LOUROSA</t>
  </si>
  <si>
    <t>COLOS</t>
  </si>
  <si>
    <t xml:space="preserve">RUA NOVA, 2 </t>
  </si>
  <si>
    <t>7630-329</t>
  </si>
  <si>
    <t>ODEMIRA</t>
  </si>
  <si>
    <t>PADIM DA GRAÇA</t>
  </si>
  <si>
    <t>AV. DO ASSENTO, 44 PADIM GRAÇA</t>
  </si>
  <si>
    <t>4705-646</t>
  </si>
  <si>
    <t>BRAGA - RUA DO CAIRES</t>
  </si>
  <si>
    <t>RUA DO CAIRES, MAXIMINOS</t>
  </si>
  <si>
    <t>4700-206</t>
  </si>
  <si>
    <t>GUIMARAES - OLIVEIRA DO CASTELO</t>
  </si>
  <si>
    <t>RUA CONSTANÇA DE NORONHA,  OLIVEIRA DO CASTELO</t>
  </si>
  <si>
    <t>4810-245</t>
  </si>
  <si>
    <t>CARRAZEDA DE ANSIÃES</t>
  </si>
  <si>
    <t>AV. DOS BOMBEIROS VOLUNTÁRIOS, S/N</t>
  </si>
  <si>
    <t>5140-080</t>
  </si>
  <si>
    <t>CARRAZEDA DE ANSIAES</t>
  </si>
  <si>
    <t>MIRANDA DO DOURO - EN 218</t>
  </si>
  <si>
    <t>ESTRADA NACIONAL 218, KM 84,360 (em frente aos Bombeiros Voluntários)</t>
  </si>
  <si>
    <t>5210-003</t>
  </si>
  <si>
    <t>MIRANDA DO DOURO</t>
  </si>
  <si>
    <t>VINHAIS</t>
  </si>
  <si>
    <t>RUA DOS  FRADES, Nº 4</t>
  </si>
  <si>
    <t>5320-334</t>
  </si>
  <si>
    <t>OLIVEIRA AZEMEIS</t>
  </si>
  <si>
    <t>AVDA. FRANCISCO TAVARES, S/N</t>
  </si>
  <si>
    <t>3720-000</t>
  </si>
  <si>
    <t>ARGANIL (ARG/CBR)</t>
  </si>
  <si>
    <t>ESTRADA NACIONAL 342-4, KM.1,5,  SÃO PEDRO (NORTE)</t>
  </si>
  <si>
    <t>3300-018</t>
  </si>
  <si>
    <t>ARGANIL</t>
  </si>
  <si>
    <t>ARGANIL (CBR/ARG)</t>
  </si>
  <si>
    <t>ESTRADA NACIONAL 342-4, KM.1,5,  SÃO PEDRO (SUL)</t>
  </si>
  <si>
    <t>3300-118</t>
  </si>
  <si>
    <t>COIMBRA - SANTA CLARA</t>
  </si>
  <si>
    <t>AVENIDA INÊS DE CASTRO, SANTA CLARA</t>
  </si>
  <si>
    <t>3040-055</t>
  </si>
  <si>
    <t>FARO - CAMPINAS</t>
  </si>
  <si>
    <t>EN-2, PK 735.1</t>
  </si>
  <si>
    <t>8050-442</t>
  </si>
  <si>
    <t>LAGOS - MARGINAL</t>
  </si>
  <si>
    <t>AV DOS DESCOBRIMENTOS</t>
  </si>
  <si>
    <t>8600-645</t>
  </si>
  <si>
    <t>LAGOS</t>
  </si>
  <si>
    <t>PORTIMÃO</t>
  </si>
  <si>
    <t>ESTRADA NACIONAL, Nº 124, POÇO SECO, CARDOSAS</t>
  </si>
  <si>
    <t>8500-368</t>
  </si>
  <si>
    <t>FERREIRAS (LGS/FAR)</t>
  </si>
  <si>
    <t>CORTESÕES, E.N.125, KM3, 2</t>
  </si>
  <si>
    <t>IP3 (VIS/CBR)</t>
  </si>
  <si>
    <t>CELORICO DA BEIRA</t>
  </si>
  <si>
    <t>ESTRADA NACIONAL 16, RUA SACADURA CABRAL, Nº 48,</t>
  </si>
  <si>
    <t>6360-350</t>
  </si>
  <si>
    <t>GUARDA</t>
  </si>
  <si>
    <t>VILA FRANCA DAS NAVES</t>
  </si>
  <si>
    <t>ESTRADA NACIONAL 226</t>
  </si>
  <si>
    <t>6420-708</t>
  </si>
  <si>
    <t>TRANCOSO</t>
  </si>
  <si>
    <t>AGUDA</t>
  </si>
  <si>
    <t>BAIRRO INDUSTRIAL DA AGUDA, CHÃO DE COUCE</t>
  </si>
  <si>
    <t>3260-027</t>
  </si>
  <si>
    <t>FIGUEIRO DOS VINHOS</t>
  </si>
  <si>
    <t>ALVAIÁZERE</t>
  </si>
  <si>
    <t>LOTEAMENTO INDUSTRIAL SAGANGA, LOTE 3 E 4</t>
  </si>
  <si>
    <t>3250-111</t>
  </si>
  <si>
    <t>ALVAIAZERE</t>
  </si>
  <si>
    <t>A3 BARCELOS (VAL/POR)</t>
  </si>
  <si>
    <t>AE-3 AUTO EST. PORTO/VALENÇA, SUB LANÇO BRAGA/EN201,</t>
  </si>
  <si>
    <t>FIGUEIRÓ DOS VINHOS</t>
  </si>
  <si>
    <t>RUA MAJOR NEUTEL DE ABREU, 48-50</t>
  </si>
  <si>
    <t>3260-417</t>
  </si>
  <si>
    <t>SÃO MARTINHO DO PORTO</t>
  </si>
  <si>
    <t>RUA CONDE DE AVELAR</t>
  </si>
  <si>
    <t>2460-642</t>
  </si>
  <si>
    <t>ALCOBAÇA</t>
  </si>
  <si>
    <t>ALCOITÃO (EST/SIN)</t>
  </si>
  <si>
    <t xml:space="preserve">EST. NAC. 6-8, KM 4, Nº.2952 E 2952A </t>
  </si>
  <si>
    <t>2765-143</t>
  </si>
  <si>
    <t>ALMARGEM DO BISPO</t>
  </si>
  <si>
    <t>AV. GENERAL HUMBERTO DELGADO</t>
  </si>
  <si>
    <t>2715-226</t>
  </si>
  <si>
    <t>A6 ESTREMOZ (LIS/ELV)</t>
  </si>
  <si>
    <t>CASCAIS - BIRRE</t>
  </si>
  <si>
    <t>ESTRADA DE BIRRE</t>
  </si>
  <si>
    <t>2750-200</t>
  </si>
  <si>
    <t>BUCELAS</t>
  </si>
  <si>
    <t>RUA LUIS DE CAMÕES, BUCELAS</t>
  </si>
  <si>
    <t>2670-662</t>
  </si>
  <si>
    <t>LOURES</t>
  </si>
  <si>
    <t>CASTANHEIRA RIBATEJO</t>
  </si>
  <si>
    <t>CASTANHEIRA DO RIBATEJO, ESTRADA NACIONAL 1, KM 28</t>
  </si>
  <si>
    <t>2580-505</t>
  </si>
  <si>
    <t>VALE DE CAVALOS</t>
  </si>
  <si>
    <t>EN-118 - VALE DE CAVALOS</t>
  </si>
  <si>
    <t>2140-000</t>
  </si>
  <si>
    <t>CHAMUSCA</t>
  </si>
  <si>
    <t>MACEDA (MCD/OVR)</t>
  </si>
  <si>
    <t>3884-908</t>
  </si>
  <si>
    <t>CÂNDIDO DOS REIS - OEIRAS</t>
  </si>
  <si>
    <t xml:space="preserve">RUA CÂNDIDO DOS REIS </t>
  </si>
  <si>
    <t>2780-213</t>
  </si>
  <si>
    <t>OEIRAS</t>
  </si>
  <si>
    <t>OLIVAL BASTO - LOURES</t>
  </si>
  <si>
    <t>RUA ANGOLA Nº8</t>
  </si>
  <si>
    <t>2620-035</t>
  </si>
  <si>
    <t>ODIVELAS</t>
  </si>
  <si>
    <t>PONTINHA</t>
  </si>
  <si>
    <t>RUA DE SANTO ELOY, LOTE 59</t>
  </si>
  <si>
    <t>1675-178</t>
  </si>
  <si>
    <t>AVIS</t>
  </si>
  <si>
    <t>HORTA DO CHÃO, LOTE 16</t>
  </si>
  <si>
    <t>7480-799</t>
  </si>
  <si>
    <t>PONTE DE SÔR</t>
  </si>
  <si>
    <t>ESTRADA NACIONAL 119, KM 94,200</t>
  </si>
  <si>
    <t>7400-267</t>
  </si>
  <si>
    <t>PONTE DE SOR</t>
  </si>
  <si>
    <t>PENAFIEL - AV  JOSÉ JÚLIO</t>
  </si>
  <si>
    <t>AV. JOSÉ JÚLIO, 213</t>
  </si>
  <si>
    <t>4564-003</t>
  </si>
  <si>
    <t>FARIA - GUIMARÃES</t>
  </si>
  <si>
    <t xml:space="preserve">RUA FARIA GUIMARÃES, Nº.1299 </t>
  </si>
  <si>
    <t>4200-294</t>
  </si>
  <si>
    <t>SÃO MAMEDE DE INFESTA</t>
  </si>
  <si>
    <t>RUA NOVA DO SEIXO, 130</t>
  </si>
  <si>
    <t>4465-215</t>
  </si>
  <si>
    <t>SÃO PEDRO DA COVA</t>
  </si>
  <si>
    <t>ESTRADA NACIONAL 209, KM 9,7, SÃO PEDRO DA COVA</t>
  </si>
  <si>
    <t>4510-429</t>
  </si>
  <si>
    <t>PORTO - PARQUE DA CIDADE</t>
  </si>
  <si>
    <t xml:space="preserve">EST. NAC.12 AO KM 0,710 - PARQUE DA CIDADE  </t>
  </si>
  <si>
    <t>4100-002</t>
  </si>
  <si>
    <t>LORDELO</t>
  </si>
  <si>
    <t>ESTRADA NACIONAL 209, Nº 3871, APARTADO 8, LORDELO</t>
  </si>
  <si>
    <t>4584-908</t>
  </si>
  <si>
    <t>ALCANEDE</t>
  </si>
  <si>
    <t>ESTRADA NACIONAL 362, KM 31,200</t>
  </si>
  <si>
    <t>2025-040</t>
  </si>
  <si>
    <t>BENFICA DO RIBATEJO</t>
  </si>
  <si>
    <t>ESTRADA NACIONAL 118, KM 64,960, RUA DIREITA, 243</t>
  </si>
  <si>
    <t>2080-329</t>
  </si>
  <si>
    <t>TERRAS PRETAS</t>
  </si>
  <si>
    <t>ESTRADA NACIONAL 349, KM 72,237, TERRAS PRETAS</t>
  </si>
  <si>
    <t>2350-744</t>
  </si>
  <si>
    <t>TORRES NOVAS - RUA MIGUEL ARNIDE</t>
  </si>
  <si>
    <t>RUA MIGUEL ARNIDE, 47</t>
  </si>
  <si>
    <t>2350-522</t>
  </si>
  <si>
    <t>FOROS DE CATRAPONA - SEIXAL (LIS/SET)</t>
  </si>
  <si>
    <t>ESTRADA NACIONAL 10, KM 15</t>
  </si>
  <si>
    <t>2840-069</t>
  </si>
  <si>
    <t>FOROS DE CATRAPONA - SEIXAL (SET/LIS)</t>
  </si>
  <si>
    <t>MARATECA (SET/ALG)</t>
  </si>
  <si>
    <t>EN 5 Km 31 SENTIDO NORTE SUL</t>
  </si>
  <si>
    <t>2965-589</t>
  </si>
  <si>
    <t>MARATECA (ALG/SET)</t>
  </si>
  <si>
    <t xml:space="preserve">EN 5 Km 31 SENTIDO SUL  NORTE </t>
  </si>
  <si>
    <t>PAIO PIRES</t>
  </si>
  <si>
    <t>AV. GENERAL HUMBERTO DELGADO, Nº 17</t>
  </si>
  <si>
    <t>2840-608</t>
  </si>
  <si>
    <t>PAREDES DE COURA</t>
  </si>
  <si>
    <t>RUA CONSELHEIRO MIGUEL DANTAS, ESTRADA NACIONAL 303, KM 17,750</t>
  </si>
  <si>
    <t>4940-540</t>
  </si>
  <si>
    <t>PAREDES DO COURA</t>
  </si>
  <si>
    <t>SÃO JULIÃO DO FREIXO</t>
  </si>
  <si>
    <t>LARGO DOMINGOS PEREIRA DE ARAÚJO</t>
  </si>
  <si>
    <t>4990-445</t>
  </si>
  <si>
    <t>PONTE LIMA</t>
  </si>
  <si>
    <t>VILA NOVA DE PAIVA</t>
  </si>
  <si>
    <t>AV. AQUILINO RIBEIRO, LARGO DO RAMALHAL</t>
  </si>
  <si>
    <t>3650-195</t>
  </si>
  <si>
    <t>CANAS DE SENHORIM</t>
  </si>
  <si>
    <t xml:space="preserve">AVENIDA DAS PEDRAS ALTAS, Nº 33, </t>
  </si>
  <si>
    <t>3525-040</t>
  </si>
  <si>
    <t>SÃO JOÃO DA PESQUEIRA</t>
  </si>
  <si>
    <t>AV. MARQUÊS SOVERAL, N.º 12 ESTRADA NACIONAL 222, KM 168,450,º</t>
  </si>
  <si>
    <t>5130-321</t>
  </si>
  <si>
    <t>SAO JOAO DA PESQUEIRA</t>
  </si>
  <si>
    <t>SANTA COMBA DÃO</t>
  </si>
  <si>
    <t>AV. GENERAL HUMBERTO DELGADO, 19</t>
  </si>
  <si>
    <t>3440-325</t>
  </si>
  <si>
    <t>VIZELA</t>
  </si>
  <si>
    <t>RUA COMENDADOR JOAO PEREIRA MAGALHAES, 910</t>
  </si>
  <si>
    <t>4815-400</t>
  </si>
  <si>
    <t>PA TROFA II</t>
  </si>
  <si>
    <t>RUA 16 DE MAIO, 243 - SAO TIAGO BOUGADO</t>
  </si>
  <si>
    <t>4785-607</t>
  </si>
  <si>
    <t>TROFA</t>
  </si>
  <si>
    <t>AVEIRO - ESGUEIRA</t>
  </si>
  <si>
    <t>AVENIDA MANUEL MARIA DA ROCHA COLMEEIRO</t>
  </si>
  <si>
    <t>3800-305</t>
  </si>
  <si>
    <t>COIMBRA - SÓLUM</t>
  </si>
  <si>
    <t xml:space="preserve">AV. GENERAL HUMBERTO DELGADO </t>
  </si>
  <si>
    <t>3030-327</t>
  </si>
  <si>
    <t>ESTRADA NACIONAL 125, URBANIZAÇÃO COVAS DE AREIA, LOTE 1</t>
  </si>
  <si>
    <t>8400-430</t>
  </si>
  <si>
    <t>ALCOITÃO (SIN/EST)</t>
  </si>
  <si>
    <t>EST.NAC. 6-8 - KM 4, Nº.2879</t>
  </si>
  <si>
    <t>AV. ANTÓNIO SANTOS LEITE</t>
  </si>
  <si>
    <t>4770-142</t>
  </si>
  <si>
    <t>FOROS DE AMORA</t>
  </si>
  <si>
    <t xml:space="preserve">ESTRADA DE FOROS DE AMORA </t>
  </si>
  <si>
    <t>2845-213</t>
  </si>
  <si>
    <t>VISEU - AV  DA BÉLGICA</t>
  </si>
  <si>
    <t xml:space="preserve">AV. DA BÉLGICA </t>
  </si>
  <si>
    <t>3510-159</t>
  </si>
  <si>
    <t>OUTEIRO DE SÃO MIGUEL - GUARDA</t>
  </si>
  <si>
    <t>SÍTIO DO JUNCAL, OUTEIRO DE SÃO MIGUEL</t>
  </si>
  <si>
    <t>6300-035</t>
  </si>
  <si>
    <t>ÍLHAVO</t>
  </si>
  <si>
    <t>RUA DE ÍLHAVO</t>
  </si>
  <si>
    <t>3830-488</t>
  </si>
  <si>
    <t>ILHAVO</t>
  </si>
  <si>
    <t>PORTELA</t>
  </si>
  <si>
    <t>EN-206 - LUGAR DAS REGADAS - REQUIAO - PORTELA</t>
  </si>
  <si>
    <t>4760-459</t>
  </si>
  <si>
    <t>ESMORIZ</t>
  </si>
  <si>
    <t>Avenida Dr Raimundo Rodrigues</t>
  </si>
  <si>
    <t>3885-412</t>
  </si>
  <si>
    <t>PA AMARES - BRAGA</t>
  </si>
  <si>
    <t>EN-308 - RUA DR. ADOLFO VILELA, S/N</t>
  </si>
  <si>
    <t>4720-000</t>
  </si>
  <si>
    <t>AMARES</t>
  </si>
  <si>
    <t>CAMBESES</t>
  </si>
  <si>
    <t>PRAÇA SENHOR DA CRUZ, 52 - CAMBESES</t>
  </si>
  <si>
    <t>4775-019</t>
  </si>
  <si>
    <t>A1 LEIRIA (LIS/LRA)</t>
  </si>
  <si>
    <t>AE-1 PK 126,5</t>
  </si>
  <si>
    <t>2420-020</t>
  </si>
  <si>
    <t>A1 LEIRIA (LRA/LIS)</t>
  </si>
  <si>
    <t>MELGAÇO</t>
  </si>
  <si>
    <t>LUGAR DE CORÇÃES, N.º 599</t>
  </si>
  <si>
    <t>4960-355</t>
  </si>
  <si>
    <t>ALBERGARIA-A-VELHA (LIS/POR)</t>
  </si>
  <si>
    <t>EN 1-IC2 KM245,5 - CAVADA NOVA</t>
  </si>
  <si>
    <t>3850-165</t>
  </si>
  <si>
    <t>ALBERGARIA-A-VELHA</t>
  </si>
  <si>
    <t>ALBERGARIA-A-VELHA (POR/LIS)</t>
  </si>
  <si>
    <t>VALE DE CAMBRA</t>
  </si>
  <si>
    <t>RUA DOM TOMÁS GOMES ALMEIDA N.º 972</t>
  </si>
  <si>
    <t>3730-054</t>
  </si>
  <si>
    <t>BRAGA - SEQUEIRA</t>
  </si>
  <si>
    <t xml:space="preserve">AVENIDA DE SEQUEIRA, Nº 20, </t>
  </si>
  <si>
    <t>4705-629</t>
  </si>
  <si>
    <t>FAFE</t>
  </si>
  <si>
    <t>VIA CIRCULAR, CAVADAS, QUINCHÃES</t>
  </si>
  <si>
    <t>4820-587</t>
  </si>
  <si>
    <t>SOUSELAS</t>
  </si>
  <si>
    <t>Truviscais Souselas</t>
  </si>
  <si>
    <t>3020-000</t>
  </si>
  <si>
    <t>LAGOS - SAÍDA PARA SAGRES</t>
  </si>
  <si>
    <t>URBANIZAÇÃO PEDRA ALÇADA, LOTE 17 (ESTR. NAC. 125, KM 21,300)</t>
  </si>
  <si>
    <t>8600-546</t>
  </si>
  <si>
    <t>PENAVERDE</t>
  </si>
  <si>
    <t>ESTRADA NACIONAL 330, KM 10,6, PENAVERDE</t>
  </si>
  <si>
    <t>3570-170</t>
  </si>
  <si>
    <t>AGUIAR DA BEIRA</t>
  </si>
  <si>
    <t>LEIRIA - POUSOS</t>
  </si>
  <si>
    <t xml:space="preserve">RUA CAROLINA FERREIRA RIBEIRO </t>
  </si>
  <si>
    <t>2415-095</t>
  </si>
  <si>
    <t>ORTIGOSA</t>
  </si>
  <si>
    <t xml:space="preserve">RUA JOAQUIM DE SOUSA, Nº 1400, ESTRADA NACIONAL 109, </t>
  </si>
  <si>
    <t>2425-737</t>
  </si>
  <si>
    <t>LISBOA - BENFICA</t>
  </si>
  <si>
    <t xml:space="preserve">RUA DA CASQUILHA - BENFICA </t>
  </si>
  <si>
    <t>1500-152</t>
  </si>
  <si>
    <t>GALIZA - CASCAIS</t>
  </si>
  <si>
    <t>RUA DO CAMPO SANTO, GALIZA</t>
  </si>
  <si>
    <t>2765-306</t>
  </si>
  <si>
    <t>MEM MARTINS</t>
  </si>
  <si>
    <t xml:space="preserve">ESTRADA DE MEM MARTINS </t>
  </si>
  <si>
    <t>2725-011</t>
  </si>
  <si>
    <t>MAFRA</t>
  </si>
  <si>
    <t xml:space="preserve">ESTRADA NACIONAL 116, KM 7,7, QUINTA DA MOUGUETA </t>
  </si>
  <si>
    <t>2640-410</t>
  </si>
  <si>
    <t>SILVEIRA</t>
  </si>
  <si>
    <t>RUA INÁCIO NUNES DA COSTA, Nº 19</t>
  </si>
  <si>
    <t>2560-546</t>
  </si>
  <si>
    <t>TORRES VEDRAS</t>
  </si>
  <si>
    <t>PAREDES - EN 102-2</t>
  </si>
  <si>
    <t>ESTRADA NACIONAL 102-2, CARREGADO, BITARÃES</t>
  </si>
  <si>
    <t>4580-291</t>
  </si>
  <si>
    <t>ERMESINDE</t>
  </si>
  <si>
    <t xml:space="preserve">RUA 5 DE OUTUBRO </t>
  </si>
  <si>
    <t>4445-310</t>
  </si>
  <si>
    <t>MAIA - ZONA INDUSTRIAL</t>
  </si>
  <si>
    <t>VIA ENG. BELMIRO DE AZEVEDO, ZONA INDUSTRIAL MAIA I, GEMUNDE</t>
  </si>
  <si>
    <t>4475-401</t>
  </si>
  <si>
    <t>RUA ALFREDO CUNHA, 546</t>
  </si>
  <si>
    <t>4450-022</t>
  </si>
  <si>
    <t>TOJAL</t>
  </si>
  <si>
    <t>ESTRADA NACIONAL 110, KM 77,88, AREIAS, TOJAL</t>
  </si>
  <si>
    <t>2240-135</t>
  </si>
  <si>
    <t>BARRA CHEIA - MOITA</t>
  </si>
  <si>
    <t>EST. MUNC.1020-CCI 2608</t>
  </si>
  <si>
    <t>2860-286</t>
  </si>
  <si>
    <t>RUA QUINTA DA TORRE 91</t>
  </si>
  <si>
    <t>2950-805</t>
  </si>
  <si>
    <t>PALMEIRA (BRG / VV)</t>
  </si>
  <si>
    <t>AVDA. DO CAVADO, S/N</t>
  </si>
  <si>
    <t>4700-</t>
  </si>
  <si>
    <t>PALMEIRA BGR</t>
  </si>
  <si>
    <t>PALMEIRA (VV / BRG)</t>
  </si>
  <si>
    <t>A2 ALMODÔVAR (LIS/ALG)</t>
  </si>
  <si>
    <t>AE-2 PK 191</t>
  </si>
  <si>
    <t>7700-000</t>
  </si>
  <si>
    <t>ALMODOVAR</t>
  </si>
  <si>
    <t>A2 ALMODÔVAR (ALG/LIS)</t>
  </si>
  <si>
    <t>AE-2 PK 193</t>
  </si>
  <si>
    <t>CASCAIS - TORRE</t>
  </si>
  <si>
    <t>RUA FRANCISCO DE ALMEIDA, LOTE 28</t>
  </si>
  <si>
    <t>2750-163</t>
  </si>
  <si>
    <t>APT. 2068, AEROPORTO FARO</t>
  </si>
  <si>
    <t>8001-701</t>
  </si>
  <si>
    <t>A23 ABRANTES (ABR/LIS)</t>
  </si>
  <si>
    <t>AE-23 PK 44</t>
  </si>
  <si>
    <t>2204-906</t>
  </si>
  <si>
    <t>ABRANTES</t>
  </si>
  <si>
    <t>A23 ABRANTES (LIS/ABR)</t>
  </si>
  <si>
    <t>BRAGA - FEIRA NOVA</t>
  </si>
  <si>
    <t>AV. FRAGATE (VIA CIRCULAR, SÃO VITOR)</t>
  </si>
  <si>
    <t>4700-427</t>
  </si>
  <si>
    <t>RUA 16 DE MAIO, Nº 978, SANTIAGO DE BOUGADO</t>
  </si>
  <si>
    <t>4785-658</t>
  </si>
  <si>
    <t>CARREGAL DO SAL - SUL DA VILA</t>
  </si>
  <si>
    <t>ARRUAMENTO URBANO A SUL DA VILA, S/N - CARREGAL DO SAL</t>
  </si>
  <si>
    <t>3430-154</t>
  </si>
  <si>
    <t>CARREGAL DO SAL</t>
  </si>
  <si>
    <t>EN-234, PK 95.6</t>
  </si>
  <si>
    <t>3520-095</t>
  </si>
  <si>
    <t>LEÇA DA PALMEIRA</t>
  </si>
  <si>
    <t>RUA VELOSO SALGADO, LEÇA DA PALMEIRA, MATOSINHOS</t>
  </si>
  <si>
    <t>4450-801</t>
  </si>
  <si>
    <t>CABANELAS CERVAES</t>
  </si>
  <si>
    <t>LUGAR CRUTO - CABANELAS</t>
  </si>
  <si>
    <t>4730-093</t>
  </si>
  <si>
    <t>A23 CASTELO BRANCO (ABR/CBR)</t>
  </si>
  <si>
    <t>AE-23 PK 127</t>
  </si>
  <si>
    <t>6005-999</t>
  </si>
  <si>
    <t>A23 CASTELO BRANCO (CBR/ABR)</t>
  </si>
  <si>
    <t>A22 SILVES (FAR/LGS)</t>
  </si>
  <si>
    <t>AE-22 VIA DO INFANTE SAGRES</t>
  </si>
  <si>
    <t>8400-000</t>
  </si>
  <si>
    <t>A22 SILVES (LGS/FAR)</t>
  </si>
  <si>
    <t>A28 VIANA DO CASTELO (VNC/POR)</t>
  </si>
  <si>
    <t>AE-28 PK 372</t>
  </si>
  <si>
    <t>4905-999</t>
  </si>
  <si>
    <t>A28 VIANA DO CASTELO (POR/VNC)</t>
  </si>
  <si>
    <t>MARINA DE FARO</t>
  </si>
  <si>
    <t>DOCA DE FARO, APARTADO 58</t>
  </si>
  <si>
    <t>8001-901</t>
  </si>
  <si>
    <t>A22 OLHÃO (OLH/VRA)</t>
  </si>
  <si>
    <t>AE-22 PK 97</t>
  </si>
  <si>
    <t>8700-152</t>
  </si>
  <si>
    <t>A22 OLHÃO (VRA/OLH)</t>
  </si>
  <si>
    <t>A23 FUNDÃO (FND/CBR)</t>
  </si>
  <si>
    <t>AE-23 PK 18,5</t>
  </si>
  <si>
    <t>6230-022</t>
  </si>
  <si>
    <t>FUNDAO</t>
  </si>
  <si>
    <t>A23 FUNDÃO (CBR/FND)</t>
  </si>
  <si>
    <t>CONDEIXA-A-NOVA (LIS/POR)</t>
  </si>
  <si>
    <t>IC2 KM 175.5, TRAVAZ</t>
  </si>
  <si>
    <t>3150-193</t>
  </si>
  <si>
    <t>CONDEIXA-A-NOVA</t>
  </si>
  <si>
    <t>CONDEIXA-A-NOVA (POR/LIS)</t>
  </si>
  <si>
    <t>SRª APARECIDA - LOUSADA</t>
  </si>
  <si>
    <t>RUA BOM VIVER, 85</t>
  </si>
  <si>
    <t>4620-823</t>
  </si>
  <si>
    <t>LOUSADA</t>
  </si>
  <si>
    <t>VISEU - SÃO JOÃO DA CARREIRA</t>
  </si>
  <si>
    <t>ESTRADA DE SÃO JOÃO DA CARREIRA</t>
  </si>
  <si>
    <t>3500-188</t>
  </si>
  <si>
    <t xml:space="preserve">AV. DE PONTEZINHAS, N.º 162 </t>
  </si>
  <si>
    <t>4720-543</t>
  </si>
  <si>
    <t>MANIQUE - CASCAIS</t>
  </si>
  <si>
    <t xml:space="preserve">ESTRADA 247,5 - MANIQUE </t>
  </si>
  <si>
    <t>2785-011</t>
  </si>
  <si>
    <t xml:space="preserve">EN13, LUGAR DO PINDELO, ARVORE </t>
  </si>
  <si>
    <t>4480-055</t>
  </si>
  <si>
    <t>RAMADA - ODIVELAS</t>
  </si>
  <si>
    <t>RUA ALMIRANTE GAGO COUTINHO, Nº 54</t>
  </si>
  <si>
    <t>2620-203</t>
  </si>
  <si>
    <t>LISBOA - CHELAS</t>
  </si>
  <si>
    <t>AV. DO SANTO CONDESTÁVEL - BAIRRO DOS LOIOS</t>
  </si>
  <si>
    <t>1950-392</t>
  </si>
  <si>
    <t>ANTA - ESPINHO</t>
  </si>
  <si>
    <t>RUA DE ESMOJÃES, LUGAR DE ANTA</t>
  </si>
  <si>
    <t>4500-063</t>
  </si>
  <si>
    <t>ESPINHO-AVEIRO</t>
  </si>
  <si>
    <t>LISBOA - ESTÁDIO UNIVERSITÁRIO</t>
  </si>
  <si>
    <t>CRUZAMENTO DA AV EGAS MONIZ COM A AV.DOS COMBATENTES (LG.DAS FONSECAS)</t>
  </si>
  <si>
    <t>1600-100</t>
  </si>
  <si>
    <t>PORTO - HOSPITAL DE SÃO JOÃO</t>
  </si>
  <si>
    <t>ESTRADA EXTERIOR DA CIRCUNVALAÇÃO Nº.7446 E 7448</t>
  </si>
  <si>
    <t>4200-162</t>
  </si>
  <si>
    <t>MIRANDELA</t>
  </si>
  <si>
    <t>LUGAR DO PRADO, VARIANTE DOS CASTANHEIROS, ZONA INDUSTRIAL</t>
  </si>
  <si>
    <t>5370-117</t>
  </si>
  <si>
    <t>BRAGA (VV/POR)</t>
  </si>
  <si>
    <t xml:space="preserve">VARIANTE E.N Nº 14, QUINTA DE MADEDREUS MAXIMINOS </t>
  </si>
  <si>
    <t>4700-700</t>
  </si>
  <si>
    <t>BRAGA (POR/VV)</t>
  </si>
  <si>
    <t>GULPILHARES</t>
  </si>
  <si>
    <t>RUA SALVADOR BRANDÃO, GULPILHARES</t>
  </si>
  <si>
    <t>4405-702</t>
  </si>
  <si>
    <t>SÃO ROMÃO DO CORONADO</t>
  </si>
  <si>
    <t xml:space="preserve">RUA DO HORIZONTE, GAVETO C/ RUA DOS CARVOEIRAS, </t>
  </si>
  <si>
    <t>4745-532</t>
  </si>
  <si>
    <t>ABRUNHEIRA (ALB/SIN)</t>
  </si>
  <si>
    <t>LUGAR DE ABRUNHEIRA, LOTE 6, FREGUESIA DE SÃO PEDRO DE PENAFERRIM</t>
  </si>
  <si>
    <t>2710-089</t>
  </si>
  <si>
    <t>ABRUNHEIRA (SIN/ALB)</t>
  </si>
  <si>
    <t>LUGAR DE ABRUNHEIRA, LOTE 13, FREGUESIA DE SÃO PEDRO DE PENAFERRIM</t>
  </si>
  <si>
    <t>VENDA DE ALCAIDE</t>
  </si>
  <si>
    <t xml:space="preserve">ESTRADA DOS ESPANHOIS, CCI 4205, PINHAL NOVO, PALMELA, </t>
  </si>
  <si>
    <t>2955-250</t>
  </si>
  <si>
    <t>SÃO TEOTÓNIO</t>
  </si>
  <si>
    <t>LOTEAMENTO INDUSRIAL DA BEMPOSTA</t>
  </si>
  <si>
    <t>7630-614</t>
  </si>
  <si>
    <t>LANÇADA (MOITA/MONTIJO)</t>
  </si>
  <si>
    <t>IC32 - NÓ DO BARREIRO / A12 (IP1) - KM 9,4</t>
  </si>
  <si>
    <t>2870-521</t>
  </si>
  <si>
    <t>LANÇADA (MONTIJO/MOITA)</t>
  </si>
  <si>
    <t>BARREIRENSE</t>
  </si>
  <si>
    <t>AV. DA ESCOLA DOS FUZILEIROS NAVAIS ¿ QUINTA DA LOMBA</t>
  </si>
  <si>
    <t>2830-150</t>
  </si>
  <si>
    <t>BARREIRO</t>
  </si>
  <si>
    <t>PINHEIRO DA BEMPOSTA</t>
  </si>
  <si>
    <t>RUA DE SAO PAIO, S/N - PINHEIRO DA BEMPOSTA</t>
  </si>
  <si>
    <t>CIDREIRA - COIMBRA</t>
  </si>
  <si>
    <t>ESTRADA NACIONA 111 - ROTUNDA DA CIDREIRA</t>
  </si>
  <si>
    <t>3025-300</t>
  </si>
  <si>
    <t>CABEÇA SANTA- EN 106 -PENAFIEL</t>
  </si>
  <si>
    <t xml:space="preserve">EN 106 Km 34+400 D </t>
  </si>
  <si>
    <t>4575-143</t>
  </si>
  <si>
    <t>EN 229, CRUZAMENTO DE SEQUEIROS</t>
  </si>
  <si>
    <t>3570-078</t>
  </si>
  <si>
    <t>ABITUREIRAS - SANTARÉM</t>
  </si>
  <si>
    <t>RUA FURRIEL VÍTOR PESTANA, ESTRADA PRINCIPAL, ABITUREIRAS</t>
  </si>
  <si>
    <t>2005-129</t>
  </si>
  <si>
    <t>E.S. COJA</t>
  </si>
  <si>
    <t xml:space="preserve">Lugar Coutada, Estrada Nacional n.º 344 </t>
  </si>
  <si>
    <t>3305-000</t>
  </si>
  <si>
    <t>COJA</t>
  </si>
  <si>
    <t>PA MACEDO DE CAVALEIROS</t>
  </si>
  <si>
    <t>ZONA INDUSTRIAL DA AMENDOEIRA, ROTUNDA IP2, M15 (A4)</t>
  </si>
  <si>
    <t>5340-296</t>
  </si>
  <si>
    <t>MACEDO DE CAVALEIROS</t>
  </si>
  <si>
    <t>POSTO DE SAGRES ( BALEEIRA )</t>
  </si>
  <si>
    <t>SÍTIO SENHORA DO AMPARO, VILA DO BISPO</t>
  </si>
  <si>
    <t>-</t>
  </si>
  <si>
    <t>SAGRES</t>
  </si>
  <si>
    <t>POSTO DE PESCA SESIMBRA</t>
  </si>
  <si>
    <t>EDIFÍCIO ARTESANALPESCA,</t>
  </si>
  <si>
    <t>POSTO DE PESCA MATOSINHOS</t>
  </si>
  <si>
    <t>RUA HEROÍS DE FRANÇA RECINTO DA DOCAPESCA EDIFICIO PROPEIXE</t>
  </si>
  <si>
    <t>AVEIRO ZI</t>
  </si>
  <si>
    <t>RUA JOAO FRANCISCO DO CASAL</t>
  </si>
  <si>
    <t>3800-264</t>
  </si>
  <si>
    <t>OLIVEIRA DO BAIRRO</t>
  </si>
  <si>
    <t>ZONA INDUSTRIAL DE VALE VERDE LOTE 20</t>
  </si>
  <si>
    <t>3770-308</t>
  </si>
  <si>
    <t>PORTELA MOSCAVIDE</t>
  </si>
  <si>
    <t>AVENIDA RALIS, 395</t>
  </si>
  <si>
    <t>2685-252</t>
  </si>
  <si>
    <t>PA VALE DA TEJA</t>
  </si>
  <si>
    <t>E.N. 222, KM 190, 600 - E LUGAR DE SEQUEIRA</t>
  </si>
  <si>
    <t>5155-337</t>
  </si>
  <si>
    <t>MOIMENTA DA BEIRA - LEOMIL</t>
  </si>
  <si>
    <t>AVENIDA LEODOMIRO, 10</t>
  </si>
  <si>
    <t>3620-162</t>
  </si>
  <si>
    <t>MOIMENTA DA BEIRA</t>
  </si>
  <si>
    <t>PONTE DA BARCA</t>
  </si>
  <si>
    <t>PAÇO VEDRO ¿ SÃO TOMÉ VADE PAÇO-VELHO</t>
  </si>
  <si>
    <t>4980-798</t>
  </si>
  <si>
    <t>SILVES CIDADE</t>
  </si>
  <si>
    <t>RUA CRUZ DA PALMEIRA, E.N. 124, PK 17,9</t>
  </si>
  <si>
    <t>8300-131</t>
  </si>
  <si>
    <t>EX-207 PK 33,4</t>
  </si>
  <si>
    <t>10950</t>
  </si>
  <si>
    <t>EX-109 PK 19</t>
  </si>
  <si>
    <t>10830</t>
  </si>
  <si>
    <t>AVENIDA TOREROS</t>
  </si>
  <si>
    <t>AVDA. DE LOS TOREROS, 2 - ROBERTO DOMINGO, S/N</t>
  </si>
  <si>
    <t>28028</t>
  </si>
  <si>
    <t>N-IA PK 75,9</t>
  </si>
  <si>
    <t>28730</t>
  </si>
  <si>
    <t>BUITRAGO DEL LOZOYA</t>
  </si>
  <si>
    <t>ANTONIO MACHADO, S/N</t>
  </si>
  <si>
    <t>07430</t>
  </si>
  <si>
    <t>OFELIA NIETO, 65</t>
  </si>
  <si>
    <t>28039</t>
  </si>
  <si>
    <t>BERLIN, S/N</t>
  </si>
  <si>
    <t>C-810 PK 36</t>
  </si>
  <si>
    <t>35480</t>
  </si>
  <si>
    <t>TF-142 PK 8,9</t>
  </si>
  <si>
    <t>38450</t>
  </si>
  <si>
    <t>TENERIFE</t>
  </si>
  <si>
    <t>TF-1224 PK 0,9</t>
  </si>
  <si>
    <t>38360</t>
  </si>
  <si>
    <t>TF-28 PK 62</t>
  </si>
  <si>
    <t>38589</t>
  </si>
  <si>
    <t>35019</t>
  </si>
  <si>
    <t>TF-6221 PK 5,5</t>
  </si>
  <si>
    <t>38630</t>
  </si>
  <si>
    <t>FV-4 PK 2</t>
  </si>
  <si>
    <t>35620</t>
  </si>
  <si>
    <t>FV-20 PK 22</t>
  </si>
  <si>
    <t>35630</t>
  </si>
  <si>
    <t>AVDA. JUAN DE BETHENCOURT, 24</t>
  </si>
  <si>
    <t>35600</t>
  </si>
  <si>
    <t>GC-812 PK 34,2</t>
  </si>
  <si>
    <t>35260</t>
  </si>
  <si>
    <t>GC-2 PK 5,2</t>
  </si>
  <si>
    <t>35400</t>
  </si>
  <si>
    <t>GCR-5.3 PK 1,6</t>
  </si>
  <si>
    <t>35430</t>
  </si>
  <si>
    <t>35460</t>
  </si>
  <si>
    <t>GC-1 PK 16</t>
  </si>
  <si>
    <t>35219</t>
  </si>
  <si>
    <t>GUIA</t>
  </si>
  <si>
    <t>35450</t>
  </si>
  <si>
    <t>35280</t>
  </si>
  <si>
    <t>GC-812 PK 42,1</t>
  </si>
  <si>
    <t>35107</t>
  </si>
  <si>
    <t>35008</t>
  </si>
  <si>
    <t>FINCA EL CANONIGO, 1 - CTRA. GENERAL DE TENOYA</t>
  </si>
  <si>
    <t>35018</t>
  </si>
  <si>
    <t>35004</t>
  </si>
  <si>
    <t>35010</t>
  </si>
  <si>
    <t>GC-5 PK 2,6</t>
  </si>
  <si>
    <t>35015</t>
  </si>
  <si>
    <t>GC-812 PK 56,8</t>
  </si>
  <si>
    <t>35100</t>
  </si>
  <si>
    <t>AVENIDA ALEJANDRO DEL CASTILLO, 1</t>
  </si>
  <si>
    <t>SAN FERNANDO DE MASPALOMAS</t>
  </si>
  <si>
    <t>LAS REMUDAS</t>
  </si>
  <si>
    <t>ACCESO AL P.I. LAS REMUDAS, 1 - SHAKESPEARE, 1</t>
  </si>
  <si>
    <t>35220</t>
  </si>
  <si>
    <t>TF-64 PK 9,6</t>
  </si>
  <si>
    <t>38600</t>
  </si>
  <si>
    <t>C-814 PK 31,8</t>
  </si>
  <si>
    <t>35330</t>
  </si>
  <si>
    <t>C-814 PK 6</t>
  </si>
  <si>
    <t>35217</t>
  </si>
  <si>
    <t>LZ-20 PK 16,9</t>
  </si>
  <si>
    <t>35560</t>
  </si>
  <si>
    <t>LZ-1 PK 2</t>
  </si>
  <si>
    <t>35507</t>
  </si>
  <si>
    <t>TAHICHE</t>
  </si>
  <si>
    <t>TF-830 PK 10</t>
  </si>
  <si>
    <t>38700</t>
  </si>
  <si>
    <t>LP-1 PK 27</t>
  </si>
  <si>
    <t>38720</t>
  </si>
  <si>
    <t>TF-28 PK 136</t>
  </si>
  <si>
    <t>38640</t>
  </si>
  <si>
    <t>TF-82 PK 93,2</t>
  </si>
  <si>
    <t>38689</t>
  </si>
  <si>
    <t>TF-64 PK 2,2</t>
  </si>
  <si>
    <t>TF-28 PK 3,4</t>
  </si>
  <si>
    <t>38500</t>
  </si>
  <si>
    <t>C-820 PK 52,7</t>
  </si>
  <si>
    <t>38430</t>
  </si>
  <si>
    <t>C-821 PK 5,8</t>
  </si>
  <si>
    <t>38300</t>
  </si>
  <si>
    <t>TF-326 PK 1</t>
  </si>
  <si>
    <t>38410</t>
  </si>
  <si>
    <t>38400</t>
  </si>
  <si>
    <t>TF-111 PK 3</t>
  </si>
  <si>
    <t>38001</t>
  </si>
  <si>
    <t>TF-1 PK 3,5</t>
  </si>
  <si>
    <t>38110</t>
  </si>
  <si>
    <t>C-820 PK 3,3</t>
  </si>
  <si>
    <t>38009</t>
  </si>
  <si>
    <t>TF-82 PK 84,9</t>
  </si>
  <si>
    <t>38690</t>
  </si>
  <si>
    <t>TF-5 PK 14,5</t>
  </si>
  <si>
    <t>38350</t>
  </si>
  <si>
    <t>TF-221 PK 10</t>
  </si>
  <si>
    <t>38627</t>
  </si>
  <si>
    <t>GC-1 PK 24</t>
  </si>
  <si>
    <t>LZ-20 PK 1,2</t>
  </si>
  <si>
    <t>35500</t>
  </si>
  <si>
    <t>ARRECIFE</t>
  </si>
  <si>
    <t>GC-1 PK 22,3</t>
  </si>
  <si>
    <t>35230</t>
  </si>
  <si>
    <t>35003</t>
  </si>
  <si>
    <t>ABADES</t>
  </si>
  <si>
    <t>TF-1 PK 44,2</t>
  </si>
  <si>
    <t>38260</t>
  </si>
  <si>
    <t>GC-800 PK 8</t>
  </si>
  <si>
    <t>35017</t>
  </si>
  <si>
    <t>TF-3115 PK 5,5</t>
  </si>
  <si>
    <t>38355</t>
  </si>
  <si>
    <t>CTRA. GENERAL DEL NORTE , PK 386</t>
  </si>
  <si>
    <t>TF-1 PK 34</t>
  </si>
  <si>
    <t>38570</t>
  </si>
  <si>
    <t>CTRA. LOS ABRIGOS-LAS CHAFIRAS, PK 4.5</t>
  </si>
  <si>
    <t>38620</t>
  </si>
  <si>
    <t>TF-82 PK 46,3</t>
  </si>
  <si>
    <t>38293</t>
  </si>
  <si>
    <t>TF-281 PK 1,8</t>
  </si>
  <si>
    <t>38550</t>
  </si>
  <si>
    <t>38010</t>
  </si>
  <si>
    <t>35530</t>
  </si>
  <si>
    <t>GRC-43 PK 4,8</t>
  </si>
  <si>
    <t>AVDA. JUAN CARLOS I, PARCELA 42</t>
  </si>
  <si>
    <t>35200</t>
  </si>
  <si>
    <t>AEROPUERTO DE LANZAROTE - LADO TIERRA</t>
  </si>
  <si>
    <t>TF-28 PK 92</t>
  </si>
  <si>
    <t>CALLE LA CAMPANA, 2 - POLIGONO INDUSTRIAL LA CAMPANA</t>
  </si>
  <si>
    <t>38109</t>
  </si>
  <si>
    <t>AEROPUERTO LANZAROTE LADO AIRE</t>
  </si>
  <si>
    <t>AEROPUERTO DE LANZAROTE - LADO AIRE</t>
  </si>
  <si>
    <t>C-820 PK 53,5</t>
  </si>
  <si>
    <t>VECINDARIO</t>
  </si>
  <si>
    <t>AVENIDA DE LAS TIRAJANAS, 50</t>
  </si>
  <si>
    <t>SANTA LUCIA DE TIRAJANA</t>
  </si>
  <si>
    <t>GC-3 PK 1,2</t>
  </si>
  <si>
    <t>LZ-1 PK 12,5</t>
  </si>
  <si>
    <t>35544</t>
  </si>
  <si>
    <t>CTRA. DEL ROSARIO (TF-194),P.I. DE TACO (SALIDA A-4 DE LA TF-5 )</t>
  </si>
  <si>
    <t>38108</t>
  </si>
  <si>
    <t>TACO-SANTA CRUZ DE TENERIFE</t>
  </si>
  <si>
    <t>35572</t>
  </si>
  <si>
    <t>35610</t>
  </si>
  <si>
    <t>AVDA. LA GAVIOTA, 1</t>
  </si>
  <si>
    <t>38680</t>
  </si>
  <si>
    <t>FV2, PK 62 MATAS BLANCAS</t>
  </si>
  <si>
    <t>35627</t>
  </si>
  <si>
    <t>PAJARA</t>
  </si>
  <si>
    <t>DUBLIN, 1</t>
  </si>
  <si>
    <t>38660</t>
  </si>
  <si>
    <t>NUEVA ESCALERITAS</t>
  </si>
  <si>
    <t>AVDA ESCALERITAS, ESQUINA PLAZA SANTA JUANA DE CASTILLA</t>
  </si>
  <si>
    <t>35012</t>
  </si>
  <si>
    <t>PUERTO PESQUERO SANTA POLA, S/N</t>
  </si>
  <si>
    <t>EK42 P.P. POLLENÇA</t>
  </si>
  <si>
    <t>EK41  P.P. TORREVIEJA - ALDESA</t>
  </si>
  <si>
    <t>Pº VISTALEGRE S/N (DIQUE DE LEVANTE)</t>
  </si>
  <si>
    <t>EK48 P.P. BARBATE NUEVA</t>
  </si>
  <si>
    <t>MUELLE PESQUERO LA ALBUFERA (Z.I)</t>
  </si>
  <si>
    <t>MUELLE LEVANTE, S/N</t>
  </si>
  <si>
    <t>AVDA. GONZALEZ TABLAS, S/N</t>
  </si>
  <si>
    <t>51001</t>
  </si>
  <si>
    <t>52006</t>
  </si>
  <si>
    <t>CEPSA PETROL STATION</t>
  </si>
  <si>
    <t>WINSTON CHURCHILL AVENUE</t>
  </si>
  <si>
    <t>11000</t>
  </si>
  <si>
    <t>GIBRALTAR</t>
  </si>
  <si>
    <t>AVDA. MARTINEZ CATENA, S/N - FRENTE A PLAYA DEL CHORRILLO</t>
  </si>
  <si>
    <t>PETROIL YACHT TERMINAL</t>
  </si>
  <si>
    <t>WATERPORT, 1-B</t>
  </si>
  <si>
    <t>QUEENSWAY</t>
  </si>
  <si>
    <t>QUEENSWAY, 2</t>
  </si>
  <si>
    <t>ROSIA</t>
  </si>
  <si>
    <t>RONDA ROSIA, 24</t>
  </si>
  <si>
    <t>PETROIL SUNDIAL</t>
  </si>
  <si>
    <t>AVDA. WINSTON CHURCHILL, 13</t>
  </si>
  <si>
    <t>PUERTO GIBRALTAR</t>
  </si>
  <si>
    <t>MUELLE PUERTO DEPORTIVO DE GIBRALTAR</t>
  </si>
  <si>
    <t>CAÑONERO DATO</t>
  </si>
  <si>
    <t>AVENIDA CAÑORERO DATO, 101</t>
  </si>
  <si>
    <t>SANT JULIA I</t>
  </si>
  <si>
    <t>CG-1 PK 6</t>
  </si>
  <si>
    <t>SANT JULIA DE LORIA</t>
  </si>
  <si>
    <t>ENCAMP</t>
  </si>
  <si>
    <t>CG-2 PK 5,5</t>
  </si>
  <si>
    <t>CG-1 PK 1</t>
  </si>
  <si>
    <t>ANDORRA LA VELLA</t>
  </si>
  <si>
    <t>L'OBAC</t>
  </si>
  <si>
    <t>AVDA. SALOU, 68</t>
  </si>
  <si>
    <t>ENCAMP CENTRE</t>
  </si>
  <si>
    <t>CG-2 PK 6</t>
  </si>
  <si>
    <t>ENVALIRA</t>
  </si>
  <si>
    <t>CG-2 PK 21,6</t>
  </si>
  <si>
    <t>CANILLO</t>
  </si>
  <si>
    <t>ORDINO</t>
  </si>
  <si>
    <t>CG-3 PK 7</t>
  </si>
  <si>
    <t>LA MASSANA</t>
  </si>
  <si>
    <t>CG-4 PK 6,5</t>
  </si>
  <si>
    <t>AUTO CENTRE</t>
  </si>
  <si>
    <t>PRAT DE LA CREU, 51</t>
  </si>
  <si>
    <t>OROS ANDORRA</t>
  </si>
  <si>
    <t>AVDA. TARRAGONA, 85</t>
  </si>
  <si>
    <t>OROS CAP DEL PORT</t>
  </si>
  <si>
    <t>PORT D'ENVALIRA</t>
  </si>
  <si>
    <t>VALIRA</t>
  </si>
  <si>
    <t>CTRA. GENERAL, 1 - AIXOVALL</t>
  </si>
  <si>
    <t>FONTANEDA</t>
  </si>
  <si>
    <t>CG-1 PK 2</t>
  </si>
  <si>
    <t>TERRES  OBAC</t>
  </si>
  <si>
    <t>23609</t>
  </si>
  <si>
    <t>RIU BLANC</t>
  </si>
  <si>
    <t>C4T FRANCE S.A.S.</t>
  </si>
  <si>
    <t>504 AVENUE HENRI RAVISSE</t>
  </si>
  <si>
    <t>62730</t>
  </si>
  <si>
    <t>MARCK</t>
  </si>
  <si>
    <t>PASO DE CALAIS</t>
  </si>
  <si>
    <t>C4T GAZ S.A.S</t>
  </si>
  <si>
    <t>SE-120 PK 24</t>
  </si>
  <si>
    <t>TERMINAL DE PRUEBAS MARRUECOS CINCO DIGITOS</t>
  </si>
  <si>
    <t>SIN NUMERO</t>
  </si>
  <si>
    <t>TETUAN</t>
  </si>
  <si>
    <t>TANGER</t>
  </si>
  <si>
    <t>ARIBA- TRAMITACION DE PEDIDOS</t>
  </si>
  <si>
    <t>Propuesta de Inversión - \Opex acción gasto</t>
  </si>
  <si>
    <t>Acción de gasto AC</t>
  </si>
  <si>
    <t>Centro /Concesión</t>
  </si>
  <si>
    <t>Proveedor/ Contrato</t>
  </si>
  <si>
    <t>8010023472 / CIETE, S.A.</t>
  </si>
  <si>
    <t>Código MOEVE</t>
  </si>
  <si>
    <t xml:space="preserve">Serán de aplicación las condiciones del Contrato para Proyecto de Ingeniería entre MOEVE y Ciete.
</t>
  </si>
  <si>
    <t>Proyecto de obras de legalización</t>
  </si>
  <si>
    <t>Certificado final de obras y actividad</t>
  </si>
  <si>
    <t>Licencia ambiental y obras</t>
  </si>
  <si>
    <t>Proyecto legalización 08/2024</t>
  </si>
  <si>
    <t>Licencia de funcionamiento</t>
  </si>
  <si>
    <t>CCU</t>
  </si>
  <si>
    <t>Gestiones con ayuntamiento de Quart entre 16-12-2020 y el 06-08-2024</t>
  </si>
  <si>
    <t>ES334500</t>
  </si>
  <si>
    <t>Legalización</t>
  </si>
  <si>
    <t>02/03/2021 Vista ES y Ayto
14/03/2022 Toma de datos edificio
30/04/2026 Visita de verificación con el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</si>
</sst>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##0;###0"/>
    <numFmt numFmtId="165" formatCode="###0.00;###0.00"/>
    <numFmt numFmtId="166" formatCode="#,##0.00\ &quot;€&quot;"/>
    <numFmt numFmtId="167" formatCode="#,##0.00_ ;[Red]\-#,##0.00\ "/>
    <numFmt numFmtId="168" formatCode="_-* #,##0.00\ [$€-C0A]_-;\-* #,##0.00\ [$€-C0A]_-;_-* &quot;-&quot;??\ [$€-C0A]_-;_-@_-"/>
    <numFmt numFmtId="169" formatCode="#,##0;[Red]#,##0"/>
    <numFmt numFmtId="170" formatCode="0000"/>
  </numFmts>
  <fonts count="38" x14ac:knownFonts="1">
    <font>
      <sz val="10"/>
      <name val="Times New Roman"/>
      <family val="1"/>
      <charset val="204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8"/>
      <name val="Arial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name val="Times New Roman"/>
      <family val="1"/>
      <charset val="204"/>
    </font>
    <font>
      <sz val="10"/>
      <name val="Helv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rgb="FFC82613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 applyNumberFormat="0" applyFill="0" applyBorder="0" applyProtection="0">
      <alignment vertical="top" wrapText="1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6" applyNumberFormat="0" applyAlignment="0" applyProtection="0"/>
    <xf numFmtId="0" fontId="10" fillId="22" borderId="7" applyNumberFormat="0" applyAlignment="0" applyProtection="0"/>
    <xf numFmtId="0" fontId="11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13" fillId="29" borderId="6" applyNumberFormat="0" applyAlignment="0" applyProtection="0"/>
    <xf numFmtId="0" fontId="14" fillId="30" borderId="0" applyNumberFormat="0" applyBorder="0" applyAlignment="0" applyProtection="0"/>
    <xf numFmtId="44" fontId="2" fillId="0" borderId="0" applyFont="0" applyFill="0" applyBorder="0" applyAlignment="0" applyProtection="0"/>
    <xf numFmtId="0" fontId="15" fillId="31" borderId="0" applyNumberFormat="0" applyBorder="0" applyAlignment="0" applyProtection="0"/>
    <xf numFmtId="0" fontId="6" fillId="32" borderId="9" applyNumberFormat="0" applyFont="0" applyAlignment="0" applyProtection="0"/>
    <xf numFmtId="0" fontId="16" fillId="21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12" fillId="0" borderId="13" applyNumberFormat="0" applyFill="0" applyAlignment="0" applyProtection="0"/>
    <xf numFmtId="0" fontId="22" fillId="0" borderId="14" applyNumberFormat="0" applyFill="0" applyAlignment="0" applyProtection="0"/>
    <xf numFmtId="0" fontId="29" fillId="0" borderId="0"/>
    <xf numFmtId="0" fontId="34" fillId="0" borderId="0"/>
  </cellStyleXfs>
  <cellXfs count="115">
    <xf numFmtId="0" fontId="0" fillId="0" borderId="0" xfId="0">
      <alignment vertical="top" wrapText="1"/>
    </xf>
    <xf numFmtId="0" fontId="0" fillId="0" borderId="0" xfId="0" applyAlignment="1"/>
    <xf numFmtId="166" fontId="0" fillId="0" borderId="0" xfId="0" applyNumberFormat="1" applyAlignment="1"/>
    <xf numFmtId="44" fontId="0" fillId="0" borderId="0" xfId="0" applyNumberFormat="1" applyAlignment="1"/>
    <xf numFmtId="0" fontId="2" fillId="0" borderId="0" xfId="0" applyFont="1">
      <alignment vertical="top" wrapText="1"/>
    </xf>
    <xf numFmtId="0" fontId="3" fillId="0" borderId="0" xfId="0" applyFont="1" applyFill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165" fontId="5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 wrapText="1"/>
    </xf>
    <xf numFmtId="0" fontId="4" fillId="0" borderId="0" xfId="0" applyFont="1" applyFill="1" applyAlignment="1">
      <alignment vertical="top"/>
    </xf>
    <xf numFmtId="164" fontId="5" fillId="0" borderId="15" xfId="0" applyNumberFormat="1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23" fillId="0" borderId="0" xfId="0" applyFont="1" applyAlignment="1"/>
    <xf numFmtId="0" fontId="23" fillId="0" borderId="0" xfId="0" applyFont="1">
      <alignment vertical="top" wrapText="1"/>
    </xf>
    <xf numFmtId="0" fontId="23" fillId="0" borderId="21" xfId="0" applyFont="1" applyBorder="1" applyAlignment="1"/>
    <xf numFmtId="0" fontId="23" fillId="0" borderId="22" xfId="0" applyFont="1" applyBorder="1" applyAlignment="1"/>
    <xf numFmtId="0" fontId="23" fillId="0" borderId="0" xfId="0" applyFont="1" applyBorder="1" applyAlignment="1"/>
    <xf numFmtId="0" fontId="23" fillId="0" borderId="24" xfId="0" applyFont="1" applyBorder="1" applyAlignment="1"/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left" vertical="top" wrapText="1"/>
    </xf>
    <xf numFmtId="14" fontId="3" fillId="0" borderId="0" xfId="0" applyNumberFormat="1" applyFont="1" applyFill="1" applyAlignment="1">
      <alignment horizontal="right" vertical="top"/>
    </xf>
    <xf numFmtId="0" fontId="3" fillId="0" borderId="0" xfId="0" applyFont="1" applyFill="1">
      <alignment vertical="top" wrapText="1"/>
    </xf>
    <xf numFmtId="0" fontId="2" fillId="0" borderId="0" xfId="0" applyFont="1" applyFill="1">
      <alignment vertical="top" wrapText="1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167" fontId="5" fillId="0" borderId="15" xfId="0" applyNumberFormat="1" applyFont="1" applyBorder="1" applyAlignment="1">
      <alignment horizontal="right" vertical="center" wrapText="1"/>
    </xf>
    <xf numFmtId="0" fontId="4" fillId="0" borderId="36" xfId="0" applyFont="1" applyFill="1" applyBorder="1" applyAlignment="1">
      <alignment vertical="top"/>
    </xf>
    <xf numFmtId="0" fontId="4" fillId="0" borderId="37" xfId="0" applyFont="1" applyFill="1" applyBorder="1" applyAlignment="1">
      <alignment vertical="top"/>
    </xf>
    <xf numFmtId="0" fontId="4" fillId="0" borderId="36" xfId="0" applyFont="1" applyFill="1" applyBorder="1" applyAlignment="1">
      <alignment horizontal="center" vertical="top"/>
    </xf>
    <xf numFmtId="165" fontId="5" fillId="0" borderId="17" xfId="0" applyNumberFormat="1" applyFont="1" applyBorder="1" applyAlignment="1">
      <alignment horizontal="center" vertical="center" wrapText="1"/>
    </xf>
    <xf numFmtId="165" fontId="2" fillId="0" borderId="0" xfId="0" applyNumberFormat="1" applyFont="1">
      <alignment vertical="top" wrapText="1"/>
    </xf>
    <xf numFmtId="0" fontId="2" fillId="0" borderId="4" xfId="0" applyFont="1" applyBorder="1" applyAlignment="1" applyProtection="1">
      <alignment vertical="center" wrapText="1"/>
    </xf>
    <xf numFmtId="0" fontId="23" fillId="0" borderId="20" xfId="0" applyFont="1" applyBorder="1" applyAlignment="1">
      <alignment horizontal="right"/>
    </xf>
    <xf numFmtId="0" fontId="23" fillId="0" borderId="23" xfId="0" applyFont="1" applyBorder="1" applyAlignment="1">
      <alignment horizontal="right"/>
    </xf>
    <xf numFmtId="0" fontId="23" fillId="0" borderId="0" xfId="0" applyFont="1" applyAlignment="1">
      <alignment horizontal="right" vertical="top" wrapText="1"/>
    </xf>
    <xf numFmtId="0" fontId="32" fillId="0" borderId="0" xfId="0" applyFont="1">
      <alignment vertical="top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3" fillId="0" borderId="0" xfId="0" applyFont="1" applyBorder="1" applyAlignment="1">
      <alignment horizontal="left"/>
    </xf>
    <xf numFmtId="49" fontId="31" fillId="34" borderId="4" xfId="43" applyNumberFormat="1" applyFont="1" applyFill="1" applyBorder="1" applyAlignment="1">
      <alignment horizontal="center" vertical="center" wrapText="1"/>
    </xf>
    <xf numFmtId="0" fontId="1" fillId="33" borderId="38" xfId="0" applyFont="1" applyFill="1" applyBorder="1" applyAlignment="1">
      <alignment horizontal="center" vertical="center"/>
    </xf>
    <xf numFmtId="0" fontId="1" fillId="33" borderId="39" xfId="0" applyFont="1" applyFill="1" applyBorder="1" applyAlignment="1">
      <alignment horizontal="center" vertical="center"/>
    </xf>
    <xf numFmtId="168" fontId="1" fillId="3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0" fillId="34" borderId="4" xfId="0" applyFont="1" applyFill="1" applyBorder="1" applyAlignment="1">
      <alignment horizontal="left" vertical="center"/>
    </xf>
    <xf numFmtId="168" fontId="30" fillId="34" borderId="4" xfId="0" applyNumberFormat="1" applyFont="1" applyFill="1" applyBorder="1" applyAlignment="1">
      <alignment horizontal="center" vertical="center"/>
    </xf>
    <xf numFmtId="0" fontId="26" fillId="0" borderId="0" xfId="0" applyFont="1" applyAlignment="1"/>
    <xf numFmtId="169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170" fontId="26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0" fontId="26" fillId="35" borderId="0" xfId="43" applyFont="1" applyFill="1" applyAlignment="1">
      <alignment horizontal="center" vertical="center"/>
    </xf>
    <xf numFmtId="169" fontId="26" fillId="35" borderId="0" xfId="43" applyNumberFormat="1" applyFont="1" applyFill="1" applyAlignment="1">
      <alignment horizontal="center" vertical="center"/>
    </xf>
    <xf numFmtId="169" fontId="26" fillId="0" borderId="0" xfId="0" applyNumberFormat="1" applyFont="1" applyAlignment="1">
      <alignment horizontal="left"/>
    </xf>
    <xf numFmtId="169" fontId="26" fillId="0" borderId="0" xfId="0" quotePrefix="1" applyNumberFormat="1" applyFont="1" applyAlignment="1">
      <alignment horizontal="center"/>
    </xf>
    <xf numFmtId="0" fontId="33" fillId="0" borderId="0" xfId="0" applyFont="1" applyAlignment="1"/>
    <xf numFmtId="169" fontId="33" fillId="0" borderId="0" xfId="0" applyNumberFormat="1" applyFont="1" applyAlignment="1"/>
    <xf numFmtId="2" fontId="26" fillId="0" borderId="0" xfId="0" applyNumberFormat="1" applyFont="1" applyAlignment="1">
      <alignment horizontal="center"/>
    </xf>
    <xf numFmtId="2" fontId="26" fillId="0" borderId="0" xfId="44" applyNumberFormat="1" applyFont="1" applyAlignment="1">
      <alignment horizontal="center" wrapText="1"/>
    </xf>
    <xf numFmtId="0" fontId="26" fillId="0" borderId="0" xfId="0" applyNumberFormat="1" applyFont="1" applyAlignment="1">
      <alignment horizontal="center"/>
    </xf>
    <xf numFmtId="0" fontId="26" fillId="0" borderId="0" xfId="44" applyNumberFormat="1" applyFont="1" applyAlignment="1">
      <alignment horizontal="center" wrapText="1"/>
    </xf>
    <xf numFmtId="0" fontId="26" fillId="0" borderId="0" xfId="0" quotePrefix="1" applyNumberFormat="1" applyFont="1" applyAlignment="1">
      <alignment horizontal="center"/>
    </xf>
    <xf numFmtId="0" fontId="35" fillId="37" borderId="35" xfId="0" applyFont="1" applyFill="1" applyBorder="1" applyAlignment="1">
      <alignment vertical="center" wrapText="1"/>
    </xf>
    <xf numFmtId="0" fontId="35" fillId="37" borderId="26" xfId="0" applyFont="1" applyFill="1" applyBorder="1" applyAlignment="1">
      <alignment vertical="center" wrapText="1"/>
    </xf>
    <xf numFmtId="0" fontId="35" fillId="39" borderId="26" xfId="0" applyFont="1" applyFill="1" applyBorder="1" applyAlignment="1">
      <alignment vertical="center" wrapText="1"/>
    </xf>
    <xf numFmtId="0" fontId="35" fillId="38" borderId="29" xfId="0" applyFont="1" applyFill="1" applyBorder="1" applyAlignment="1">
      <alignment vertical="center" wrapText="1"/>
    </xf>
    <xf numFmtId="0" fontId="35" fillId="37" borderId="26" xfId="0" applyFont="1" applyFill="1" applyBorder="1" applyAlignment="1">
      <alignment horizontal="center" vertical="center" wrapText="1"/>
    </xf>
    <xf numFmtId="0" fontId="35" fillId="38" borderId="30" xfId="0" applyFont="1" applyFill="1" applyBorder="1" applyAlignment="1">
      <alignment vertical="center" wrapText="1"/>
    </xf>
    <xf numFmtId="0" fontId="35" fillId="38" borderId="0" xfId="0" applyFont="1" applyFill="1" applyBorder="1" applyAlignment="1">
      <alignment vertical="center" wrapText="1"/>
    </xf>
    <xf numFmtId="0" fontId="37" fillId="38" borderId="30" xfId="0" applyFont="1" applyFill="1" applyBorder="1" applyAlignment="1">
      <alignment horizontal="center" vertical="center" wrapText="1"/>
    </xf>
    <xf numFmtId="0" fontId="37" fillId="38" borderId="0" xfId="0" applyFont="1" applyFill="1" applyBorder="1" applyAlignment="1">
      <alignment horizontal="center" vertical="center" wrapText="1"/>
    </xf>
    <xf numFmtId="0" fontId="37" fillId="38" borderId="29" xfId="0" applyFont="1" applyFill="1" applyBorder="1" applyAlignment="1">
      <alignment horizontal="left" vertical="center" wrapText="1"/>
    </xf>
    <xf numFmtId="0" fontId="24" fillId="0" borderId="26" xfId="0" applyFont="1" applyFill="1" applyBorder="1" applyAlignment="1">
      <alignment vertical="center" wrapText="1"/>
    </xf>
    <xf numFmtId="14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49" fontId="28" fillId="0" borderId="0" xfId="0" applyNumberFormat="1" applyFont="1" applyAlignment="1">
      <alignment horizontal="left" vertical="top" wrapText="1"/>
    </xf>
    <xf numFmtId="0" fontId="25" fillId="0" borderId="3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8" fontId="37" fillId="38" borderId="3" xfId="0" applyNumberFormat="1" applyFont="1" applyFill="1" applyBorder="1" applyAlignment="1">
      <alignment horizontal="left" vertical="center" wrapText="1"/>
    </xf>
    <xf numFmtId="8" fontId="37" fillId="38" borderId="1" xfId="0" applyNumberFormat="1" applyFont="1" applyFill="1" applyBorder="1" applyAlignment="1">
      <alignment horizontal="left" vertical="center" wrapText="1"/>
    </xf>
    <xf numFmtId="8" fontId="37" fillId="38" borderId="2" xfId="0" applyNumberFormat="1" applyFont="1" applyFill="1" applyBorder="1" applyAlignment="1">
      <alignment horizontal="left" vertical="center" wrapText="1"/>
    </xf>
    <xf numFmtId="0" fontId="35" fillId="36" borderId="3" xfId="0" applyFont="1" applyFill="1" applyBorder="1" applyAlignment="1">
      <alignment horizontal="center" vertical="center" wrapText="1"/>
    </xf>
    <xf numFmtId="0" fontId="35" fillId="36" borderId="1" xfId="0" applyFont="1" applyFill="1" applyBorder="1" applyAlignment="1">
      <alignment horizontal="center" vertical="center" wrapText="1"/>
    </xf>
    <xf numFmtId="0" fontId="35" fillId="36" borderId="2" xfId="0" applyFont="1" applyFill="1" applyBorder="1" applyAlignment="1">
      <alignment horizontal="center" vertical="center" wrapText="1"/>
    </xf>
    <xf numFmtId="0" fontId="24" fillId="0" borderId="34" xfId="0" applyFont="1" applyFill="1" applyBorder="1" applyAlignment="1">
      <alignment horizontal="left" vertical="center" wrapText="1"/>
    </xf>
    <xf numFmtId="0" fontId="24" fillId="0" borderId="26" xfId="0" applyFont="1" applyFill="1" applyBorder="1" applyAlignment="1">
      <alignment horizontal="left" vertical="center" wrapText="1"/>
    </xf>
    <xf numFmtId="0" fontId="25" fillId="0" borderId="33" xfId="0" applyFont="1" applyFill="1" applyBorder="1" applyAlignment="1">
      <alignment horizontal="center" vertical="center" wrapText="1"/>
    </xf>
    <xf numFmtId="0" fontId="25" fillId="0" borderId="32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 wrapText="1"/>
    </xf>
    <xf numFmtId="0" fontId="25" fillId="0" borderId="27" xfId="0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35" fillId="38" borderId="3" xfId="0" applyFont="1" applyFill="1" applyBorder="1" applyAlignment="1">
      <alignment horizontal="left" vertical="center" wrapText="1"/>
    </xf>
    <xf numFmtId="0" fontId="35" fillId="38" borderId="1" xfId="0" applyFont="1" applyFill="1" applyBorder="1" applyAlignment="1">
      <alignment horizontal="left" vertical="center" wrapText="1"/>
    </xf>
    <xf numFmtId="0" fontId="35" fillId="38" borderId="2" xfId="0" applyFont="1" applyFill="1" applyBorder="1" applyAlignment="1">
      <alignment horizontal="left" vertical="center" wrapText="1"/>
    </xf>
    <xf numFmtId="0" fontId="35" fillId="37" borderId="34" xfId="0" applyFont="1" applyFill="1" applyBorder="1" applyAlignment="1">
      <alignment horizontal="center" vertical="center" wrapText="1"/>
    </xf>
    <xf numFmtId="0" fontId="35" fillId="37" borderId="31" xfId="0" applyFont="1" applyFill="1" applyBorder="1" applyAlignment="1">
      <alignment horizontal="center" vertical="center" wrapText="1"/>
    </xf>
    <xf numFmtId="0" fontId="35" fillId="37" borderId="26" xfId="0" applyFont="1" applyFill="1" applyBorder="1" applyAlignment="1">
      <alignment horizontal="center" vertical="center" wrapText="1"/>
    </xf>
    <xf numFmtId="8" fontId="36" fillId="38" borderId="3" xfId="0" applyNumberFormat="1" applyFont="1" applyFill="1" applyBorder="1" applyAlignment="1">
      <alignment horizontal="left" vertical="center" wrapText="1"/>
    </xf>
    <xf numFmtId="8" fontId="36" fillId="38" borderId="1" xfId="0" applyNumberFormat="1" applyFont="1" applyFill="1" applyBorder="1" applyAlignment="1">
      <alignment horizontal="left" vertical="center" wrapText="1"/>
    </xf>
    <xf numFmtId="8" fontId="36" fillId="38" borderId="2" xfId="0" applyNumberFormat="1" applyFont="1" applyFill="1" applyBorder="1" applyAlignment="1">
      <alignment horizontal="left" vertical="center" wrapText="1"/>
    </xf>
    <xf numFmtId="0" fontId="37" fillId="38" borderId="3" xfId="0" applyFont="1" applyFill="1" applyBorder="1" applyAlignment="1">
      <alignment horizontal="left" vertical="center" wrapText="1"/>
    </xf>
    <xf numFmtId="0" fontId="37" fillId="38" borderId="1" xfId="0" applyFont="1" applyFill="1" applyBorder="1" applyAlignment="1">
      <alignment horizontal="left" vertical="center" wrapText="1"/>
    </xf>
    <xf numFmtId="0" fontId="37" fillId="38" borderId="2" xfId="0" applyFont="1" applyFill="1" applyBorder="1" applyAlignment="1">
      <alignment horizontal="left" vertical="center" wrapText="1"/>
    </xf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Moneda 2" xfId="32" xr:uid="{00000000-0005-0000-0000-000020000000}"/>
    <cellStyle name="Neutral" xfId="33" builtinId="28" customBuiltin="1"/>
    <cellStyle name="Normal" xfId="0" builtinId="0" customBuiltin="1"/>
    <cellStyle name="Normal 2" xfId="43" xr:uid="{00000000-0005-0000-0000-000023000000}"/>
    <cellStyle name="Normal_Arr. de Servicios" xfId="44" xr:uid="{00000000-0005-0000-0000-000024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colors>
    <mruColors>
      <color rgb="FFC82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28575</xdr:rowOff>
    </xdr:from>
    <xdr:to>
      <xdr:col>5</xdr:col>
      <xdr:colOff>373855</xdr:colOff>
      <xdr:row>3</xdr:row>
      <xdr:rowOff>114300</xdr:rowOff>
    </xdr:to>
    <xdr:pic>
      <xdr:nvPicPr>
        <xdr:cNvPr id="2064" name="1 Imagen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28575"/>
          <a:ext cx="1476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732234</xdr:colOff>
      <xdr:row>37</xdr:row>
      <xdr:rowOff>41672</xdr:rowOff>
    </xdr:from>
    <xdr:to>
      <xdr:col>1</xdr:col>
      <xdr:colOff>2327671</xdr:colOff>
      <xdr:row>41</xdr:row>
      <xdr:rowOff>5512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859" y="6251972"/>
          <a:ext cx="1595437" cy="611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view="pageBreakPreview" zoomScale="160" zoomScaleNormal="160" zoomScaleSheetLayoutView="160" workbookViewId="0">
      <selection activeCell="D12" sqref="D12"/>
    </sheetView>
  </sheetViews>
  <sheetFormatPr baseColWidth="10" defaultRowHeight="12.75" x14ac:dyDescent="0.2"/>
  <cols>
    <col min="1" max="1" width="14.6640625" style="4" bestFit="1" customWidth="1"/>
    <col min="2" max="2" width="53.1640625" style="4" customWidth="1"/>
    <col min="3" max="3" width="12.5" style="4" customWidth="1"/>
    <col min="4" max="4" width="12.83203125" style="4" customWidth="1"/>
    <col min="5" max="5" width="11.5" style="4" customWidth="1"/>
    <col min="6" max="6" width="11" style="4" bestFit="1" customWidth="1"/>
    <col min="7" max="7" width="2.1640625" customWidth="1"/>
  </cols>
  <sheetData>
    <row r="1" spans="1:6" ht="12" customHeight="1" x14ac:dyDescent="0.2">
      <c r="A1" s="11" t="s">
        <v>27</v>
      </c>
      <c r="B1" s="24" t="s">
        <v>6265</v>
      </c>
      <c r="C1" s="25">
        <v>46148</v>
      </c>
      <c r="E1" s="84"/>
      <c r="F1" s="84"/>
    </row>
    <row r="2" spans="1:6" ht="12" customHeight="1" x14ac:dyDescent="0.2">
      <c r="A2" s="26" t="s">
        <v>28</v>
      </c>
      <c r="B2" s="27" t="str">
        <f>Cuadro!C19</f>
        <v>E.S. LA SENYERA I - Nº33450</v>
      </c>
      <c r="C2" s="5"/>
      <c r="E2" s="7"/>
      <c r="F2" s="7"/>
    </row>
    <row r="3" spans="1:6" ht="12" customHeight="1" x14ac:dyDescent="0.2">
      <c r="A3" s="11" t="s">
        <v>7</v>
      </c>
      <c r="B3" s="27" t="str">
        <f>CONCATENATE(Cuadro!I5," (",Cuadro!I6,")")</f>
        <v>CUART DE POBLET (VALENCIA)</v>
      </c>
      <c r="C3" s="27"/>
    </row>
    <row r="4" spans="1:6" ht="38.25" customHeight="1" x14ac:dyDescent="0.2">
      <c r="A4" s="26" t="s">
        <v>32</v>
      </c>
      <c r="B4" s="29" t="s">
        <v>2144</v>
      </c>
      <c r="C4" s="27"/>
    </row>
    <row r="5" spans="1:6" ht="12" customHeight="1" x14ac:dyDescent="0.2">
      <c r="A5" s="28"/>
      <c r="B5" s="28"/>
      <c r="C5" s="27"/>
    </row>
    <row r="6" spans="1:6" ht="12" customHeight="1" x14ac:dyDescent="0.2">
      <c r="A6" s="28"/>
      <c r="B6" s="28"/>
      <c r="C6" s="27"/>
    </row>
    <row r="7" spans="1:6" x14ac:dyDescent="0.2">
      <c r="A7" s="31"/>
      <c r="B7" s="33" t="s">
        <v>6266</v>
      </c>
      <c r="C7" s="32"/>
      <c r="D7" s="81" t="s">
        <v>0</v>
      </c>
      <c r="E7" s="82"/>
      <c r="F7" s="83"/>
    </row>
    <row r="8" spans="1:6" ht="25.5" customHeight="1" thickBot="1" x14ac:dyDescent="0.25">
      <c r="A8" s="72" t="s">
        <v>1</v>
      </c>
      <c r="B8" s="72" t="s">
        <v>29</v>
      </c>
      <c r="C8" s="72" t="s">
        <v>6256</v>
      </c>
      <c r="D8" s="72" t="s">
        <v>2</v>
      </c>
      <c r="E8" s="72" t="s">
        <v>3</v>
      </c>
      <c r="F8" s="72" t="s">
        <v>4</v>
      </c>
    </row>
    <row r="9" spans="1:6" x14ac:dyDescent="0.2">
      <c r="A9" s="12">
        <v>1</v>
      </c>
      <c r="B9" s="50" t="s">
        <v>1843</v>
      </c>
      <c r="C9" s="13" t="str">
        <f>IF($B9="","",VLOOKUP($B9,TARIFARIO!$C$3:$E$200,2,FALSE))</f>
        <v>165052</v>
      </c>
      <c r="D9" s="8">
        <v>40</v>
      </c>
      <c r="E9" s="34">
        <f>IF($B9="","0",VLOOKUP($B9,TARIFARIO!$C$3:$E$200,3,FALSE))</f>
        <v>40</v>
      </c>
      <c r="F9" s="30">
        <f t="shared" ref="F9" si="0">D9*E9</f>
        <v>1600</v>
      </c>
    </row>
    <row r="10" spans="1:6" ht="25.5" x14ac:dyDescent="0.2">
      <c r="B10" s="79" t="s">
        <v>6264</v>
      </c>
    </row>
    <row r="11" spans="1:6" x14ac:dyDescent="0.2">
      <c r="A11" s="12">
        <v>2</v>
      </c>
      <c r="B11" s="50" t="s">
        <v>1855</v>
      </c>
      <c r="C11" s="13" t="str">
        <f>IF($B11="","",VLOOKUP($B11,TARIFARIO!$C$3:$E$200,2,FALSE))</f>
        <v>165023</v>
      </c>
      <c r="D11" s="8">
        <v>3</v>
      </c>
      <c r="E11" s="34">
        <f>IF($B11="","0",VLOOKUP($B11,TARIFARIO!$C$3:$E$200,3,FALSE))</f>
        <v>510</v>
      </c>
      <c r="F11" s="30">
        <f t="shared" ref="F11" si="1">D11*E11</f>
        <v>1530</v>
      </c>
    </row>
    <row r="12" spans="1:6" ht="38.25" x14ac:dyDescent="0.2">
      <c r="B12" s="79" t="s">
        <v>6267</v>
      </c>
    </row>
    <row r="13" spans="1:6" x14ac:dyDescent="0.2">
      <c r="A13" s="12">
        <v>3</v>
      </c>
      <c r="B13" s="50" t="s">
        <v>2361</v>
      </c>
      <c r="C13" s="13" t="str">
        <f>IF($B13="","",VLOOKUP($B13,TARIFARIO!$C$3:$E$200,2,FALSE))</f>
        <v>181871</v>
      </c>
      <c r="D13" s="8">
        <v>1</v>
      </c>
      <c r="E13" s="34">
        <f>IF($B13="","0",VLOOKUP($B13,TARIFARIO!$C$3:$E$200,3,FALSE))</f>
        <v>2550</v>
      </c>
      <c r="F13" s="30">
        <f t="shared" ref="F13:F15" si="2">D13*E13</f>
        <v>2550</v>
      </c>
    </row>
    <row r="14" spans="1:6" x14ac:dyDescent="0.2">
      <c r="B14" s="79" t="s">
        <v>6261</v>
      </c>
    </row>
    <row r="15" spans="1:6" x14ac:dyDescent="0.2">
      <c r="A15" s="12">
        <v>4</v>
      </c>
      <c r="B15" s="50" t="s">
        <v>1839</v>
      </c>
      <c r="C15" s="13" t="str">
        <f>IF($B15="","",VLOOKUP($B15,TARIFARIO!$C$3:$E$200,2,FALSE))</f>
        <v>165027</v>
      </c>
      <c r="D15" s="8">
        <v>1</v>
      </c>
      <c r="E15" s="34">
        <f>IF($B15="","0",VLOOKUP($B15,TARIFARIO!$C$3:$E$200,3,FALSE))</f>
        <v>1250</v>
      </c>
      <c r="F15" s="30">
        <f t="shared" si="2"/>
        <v>1250</v>
      </c>
    </row>
    <row r="16" spans="1:6" x14ac:dyDescent="0.2">
      <c r="A16" s="12">
        <v>5</v>
      </c>
      <c r="B16" s="50" t="s">
        <v>1835</v>
      </c>
      <c r="C16" s="13" t="str">
        <f>IF($B16="","",VLOOKUP($B16,TARIFARIO!$C$3:$E$200,2,FALSE))</f>
        <v>165031</v>
      </c>
      <c r="D16" s="8">
        <v>1</v>
      </c>
      <c r="E16" s="34">
        <f>IF($B16="","0",VLOOKUP($B16,TARIFARIO!$C$3:$E$200,3,FALSE))</f>
        <v>2000</v>
      </c>
      <c r="F16" s="30">
        <f t="shared" ref="F16:F18" si="3">D16*E16</f>
        <v>2000</v>
      </c>
    </row>
    <row r="17" spans="1:6" x14ac:dyDescent="0.2">
      <c r="B17" s="79" t="s">
        <v>6258</v>
      </c>
    </row>
    <row r="18" spans="1:6" x14ac:dyDescent="0.2">
      <c r="A18" s="12">
        <v>6</v>
      </c>
      <c r="B18" s="50" t="s">
        <v>2246</v>
      </c>
      <c r="C18" s="13" t="str">
        <f>IF($B18="","",VLOOKUP($B18,TARIFARIO!$C$3:$E$200,2,FALSE))</f>
        <v>181825</v>
      </c>
      <c r="D18" s="8">
        <v>1</v>
      </c>
      <c r="E18" s="34">
        <f>IF($B18="","0",VLOOKUP($B18,TARIFARIO!$C$3:$E$200,3,FALSE))</f>
        <v>790</v>
      </c>
      <c r="F18" s="30">
        <f t="shared" si="3"/>
        <v>790</v>
      </c>
    </row>
    <row r="19" spans="1:6" x14ac:dyDescent="0.2">
      <c r="B19" s="79" t="s">
        <v>6259</v>
      </c>
    </row>
    <row r="20" spans="1:6" x14ac:dyDescent="0.2">
      <c r="A20" s="12">
        <v>7</v>
      </c>
      <c r="B20" s="50" t="s">
        <v>2367</v>
      </c>
      <c r="C20" s="13" t="str">
        <f>IF($B20="","",VLOOKUP($B20,TARIFARIO!$C$3:$E$200,2,FALSE))</f>
        <v>181874</v>
      </c>
      <c r="D20" s="8">
        <v>1</v>
      </c>
      <c r="E20" s="34">
        <f>IF($B20="","0",VLOOKUP($B20,TARIFARIO!$C$3:$E$200,3,FALSE))</f>
        <v>1825</v>
      </c>
      <c r="F20" s="30">
        <f t="shared" ref="F20" si="4">D20*E20</f>
        <v>1825</v>
      </c>
    </row>
    <row r="21" spans="1:6" x14ac:dyDescent="0.2">
      <c r="B21" s="79" t="s">
        <v>6260</v>
      </c>
    </row>
    <row r="22" spans="1:6" x14ac:dyDescent="0.2">
      <c r="A22" s="12">
        <v>8</v>
      </c>
      <c r="B22" s="50" t="s">
        <v>2367</v>
      </c>
      <c r="C22" s="13" t="str">
        <f>IF($B22="","",VLOOKUP($B22,TARIFARIO!$C$3:$E$200,2,FALSE))</f>
        <v>181874</v>
      </c>
      <c r="D22" s="8">
        <v>1</v>
      </c>
      <c r="E22" s="34">
        <f>IF($B22="","0",VLOOKUP($B22,TARIFARIO!$C$3:$E$200,3,FALSE))</f>
        <v>1825</v>
      </c>
      <c r="F22" s="30">
        <f t="shared" ref="F22" si="5">D22*E22</f>
        <v>1825</v>
      </c>
    </row>
    <row r="23" spans="1:6" x14ac:dyDescent="0.2">
      <c r="B23" s="79" t="s">
        <v>6262</v>
      </c>
    </row>
    <row r="24" spans="1:6" x14ac:dyDescent="0.2">
      <c r="A24" s="12">
        <v>9</v>
      </c>
      <c r="B24" s="50" t="s">
        <v>1829</v>
      </c>
      <c r="C24" s="13" t="str">
        <f>IF($B24="","",VLOOKUP($B24,TARIFARIO!$C$3:$E$200,2,FALSE))</f>
        <v>165042</v>
      </c>
      <c r="D24" s="8">
        <v>1</v>
      </c>
      <c r="E24" s="34">
        <f>IF($B24="","0",VLOOKUP($B24,TARIFARIO!$C$3:$E$200,3,FALSE))</f>
        <v>570</v>
      </c>
      <c r="F24" s="30">
        <f t="shared" ref="F24" si="6">D24*E24</f>
        <v>570</v>
      </c>
    </row>
    <row r="25" spans="1:6" x14ac:dyDescent="0.2">
      <c r="B25" s="79" t="s">
        <v>6263</v>
      </c>
    </row>
    <row r="26" spans="1:6" x14ac:dyDescent="0.2">
      <c r="A26" s="12"/>
      <c r="B26" s="36"/>
      <c r="C26" s="13"/>
      <c r="D26" s="8"/>
      <c r="E26" s="34"/>
      <c r="F26" s="30"/>
    </row>
    <row r="27" spans="1:6" x14ac:dyDescent="0.2">
      <c r="A27" s="12"/>
      <c r="B27" s="36"/>
      <c r="C27" s="13"/>
      <c r="D27" s="8"/>
      <c r="E27" s="34"/>
      <c r="F27" s="30"/>
    </row>
    <row r="28" spans="1:6" x14ac:dyDescent="0.2">
      <c r="A28" s="20"/>
      <c r="B28" s="85"/>
      <c r="C28" s="85"/>
      <c r="D28" s="21"/>
      <c r="E28" s="35"/>
      <c r="F28" s="21"/>
    </row>
    <row r="29" spans="1:6" ht="12" customHeight="1" x14ac:dyDescent="0.2">
      <c r="E29" s="9" t="s">
        <v>6</v>
      </c>
      <c r="F29" s="10">
        <f>SUM(F9:F28)</f>
        <v>13940</v>
      </c>
    </row>
    <row r="30" spans="1:6" ht="12" customHeight="1" x14ac:dyDescent="0.2">
      <c r="A30" s="6"/>
    </row>
    <row r="31" spans="1:6" ht="12" customHeight="1" x14ac:dyDescent="0.2">
      <c r="A31" s="6"/>
    </row>
    <row r="32" spans="1:6" ht="12.75" customHeight="1" x14ac:dyDescent="0.2">
      <c r="A32" s="9" t="s">
        <v>72</v>
      </c>
      <c r="B32" s="80" t="s">
        <v>6257</v>
      </c>
      <c r="C32" s="80"/>
    </row>
    <row r="33" spans="1:6" x14ac:dyDescent="0.2">
      <c r="A33" s="20"/>
      <c r="B33" s="80"/>
      <c r="C33" s="80"/>
      <c r="D33" s="21"/>
      <c r="E33" s="21"/>
      <c r="F33" s="21"/>
    </row>
    <row r="34" spans="1:6" x14ac:dyDescent="0.2">
      <c r="A34" s="20"/>
      <c r="B34" s="80"/>
      <c r="C34" s="80"/>
      <c r="D34" s="21"/>
      <c r="E34" s="21"/>
      <c r="F34" s="21"/>
    </row>
    <row r="35" spans="1:6" x14ac:dyDescent="0.2">
      <c r="A35" s="20"/>
      <c r="B35" s="80"/>
      <c r="C35" s="80"/>
      <c r="D35" s="21"/>
      <c r="E35" s="21"/>
      <c r="F35" s="21"/>
    </row>
    <row r="36" spans="1:6" x14ac:dyDescent="0.2">
      <c r="A36" s="21"/>
      <c r="B36" s="21"/>
      <c r="C36" s="21"/>
    </row>
    <row r="37" spans="1:6" x14ac:dyDescent="0.2">
      <c r="A37" s="21"/>
      <c r="B37" s="22" t="s">
        <v>30</v>
      </c>
      <c r="C37" s="21"/>
    </row>
    <row r="38" spans="1:6" x14ac:dyDescent="0.2">
      <c r="A38" s="21"/>
      <c r="B38" s="21"/>
      <c r="C38" s="21"/>
    </row>
    <row r="39" spans="1:6" x14ac:dyDescent="0.2">
      <c r="A39" s="21"/>
      <c r="B39" s="21"/>
      <c r="C39" s="21"/>
    </row>
    <row r="42" spans="1:6" x14ac:dyDescent="0.2">
      <c r="B42" s="23" t="s">
        <v>31</v>
      </c>
    </row>
  </sheetData>
  <mergeCells count="6">
    <mergeCell ref="B35:C35"/>
    <mergeCell ref="D7:F7"/>
    <mergeCell ref="E1:F1"/>
    <mergeCell ref="B34:C34"/>
    <mergeCell ref="B32:C33"/>
    <mergeCell ref="B28:C28"/>
  </mergeCells>
  <pageMargins left="0.62992125984251968" right="0.43307086614173229" top="0.54" bottom="0.98425196850393704" header="0.51181102362204722" footer="0.51181102362204722"/>
  <pageSetup paperSize="9" scale="85" orientation="portrait" r:id="rId1"/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TARIFARIO!$C$3:$C$200</xm:f>
          </x14:formula1>
          <xm:sqref>B26:B27 B13 B15:B16 B18 B20 B22 B24 B9 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selection activeCell="A17" sqref="A17:XFD20"/>
    </sheetView>
  </sheetViews>
  <sheetFormatPr baseColWidth="10" defaultColWidth="13.33203125" defaultRowHeight="15" x14ac:dyDescent="0.2"/>
  <cols>
    <col min="1" max="1" width="13.33203125" style="39"/>
    <col min="2" max="16384" width="13.33203125" style="15"/>
  </cols>
  <sheetData>
    <row r="1" spans="1:20" s="14" customFormat="1" x14ac:dyDescent="0.25">
      <c r="A1" s="37" t="s">
        <v>8</v>
      </c>
      <c r="B1" s="16" t="s">
        <v>9</v>
      </c>
      <c r="C1" s="16" t="s">
        <v>5</v>
      </c>
      <c r="D1" s="16" t="s">
        <v>10</v>
      </c>
      <c r="E1" s="16" t="s">
        <v>11</v>
      </c>
      <c r="F1" s="16" t="s">
        <v>12</v>
      </c>
      <c r="G1" s="16" t="s">
        <v>13</v>
      </c>
      <c r="H1" s="16" t="s">
        <v>14</v>
      </c>
      <c r="I1" s="16" t="s">
        <v>15</v>
      </c>
      <c r="J1" s="16" t="s">
        <v>16</v>
      </c>
      <c r="K1" s="16" t="s">
        <v>17</v>
      </c>
      <c r="L1" s="16" t="s">
        <v>18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23</v>
      </c>
      <c r="R1" s="16" t="s">
        <v>24</v>
      </c>
      <c r="S1" s="16" t="s">
        <v>25</v>
      </c>
      <c r="T1" s="17" t="s">
        <v>26</v>
      </c>
    </row>
    <row r="2" spans="1:20" s="14" customFormat="1" x14ac:dyDescent="0.25">
      <c r="A2" s="38" t="str">
        <f>IF('Presupuesto Ciete'!C9="","",'Presupuesto Ciete'!C9)</f>
        <v>165052</v>
      </c>
      <c r="B2" s="18">
        <f>IF('Presupuesto Ciete'!B9="","",'Presupuesto Ciete'!A9)</f>
        <v>1</v>
      </c>
      <c r="C2" s="18">
        <f>IF('Presupuesto Ciete'!D9="","",'Presupuesto Ciete'!D9)</f>
        <v>40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43" t="str">
        <f>IF('Presupuesto Ciete'!B9="","",'Presupuesto Ciete'!B9)</f>
        <v>SERVICIO DIRECCION DE PROYECTO</v>
      </c>
      <c r="T2" s="19" t="str">
        <f>IF(A2="","",'Presupuesto Ciete'!$B$1)</f>
        <v>ES334500</v>
      </c>
    </row>
    <row r="3" spans="1:20" s="14" customFormat="1" x14ac:dyDescent="0.25">
      <c r="A3" s="38" t="str">
        <f>IF('Presupuesto Ciete'!C11="","",'Presupuesto Ciete'!C11)</f>
        <v>165023</v>
      </c>
      <c r="B3" s="18">
        <f>IF('Presupuesto Ciete'!B11="","",'Presupuesto Ciete'!A11)</f>
        <v>2</v>
      </c>
      <c r="C3" s="18">
        <f>IF('Presupuesto Ciete'!D11="","",'Presupuesto Ciete'!D11)</f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43" t="str">
        <f>IF('Presupuesto Ciete'!B11="","",'Presupuesto Ciete'!B11)</f>
        <v>TOMA DE DATOS SIMPLE</v>
      </c>
      <c r="T3" s="19" t="str">
        <f>IF(A3="","",'Presupuesto Ciete'!$B$1)</f>
        <v>ES334500</v>
      </c>
    </row>
    <row r="4" spans="1:20" s="14" customFormat="1" x14ac:dyDescent="0.25">
      <c r="A4" s="38" t="str">
        <f>IF('Presupuesto Ciete'!C13="","",'Presupuesto Ciete'!C13)</f>
        <v>181871</v>
      </c>
      <c r="B4" s="18">
        <f>IF('Presupuesto Ciete'!B13="","",'Presupuesto Ciete'!A13)</f>
        <v>3</v>
      </c>
      <c r="C4" s="18">
        <f>IF('Presupuesto Ciete'!D13="","",'Presupuesto Ciete'!D13)</f>
        <v>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43" t="str">
        <f>IF('Presupuesto Ciete'!B13="","",'Presupuesto Ciete'!B13)</f>
        <v>PJT LEGA. ACTI./INST. PJT CMPT INSTALA.</v>
      </c>
      <c r="T4" s="19" t="str">
        <f>IF(A4="","",'Presupuesto Ciete'!$B$1)</f>
        <v>ES334500</v>
      </c>
    </row>
    <row r="5" spans="1:20" s="14" customFormat="1" x14ac:dyDescent="0.25">
      <c r="A5" s="38" t="str">
        <f>IF('Presupuesto Ciete'!C15="","",'Presupuesto Ciete'!C15)</f>
        <v>165027</v>
      </c>
      <c r="B5" s="18">
        <f>IF('Presupuesto Ciete'!B15="","",'Presupuesto Ciete'!A15)</f>
        <v>4</v>
      </c>
      <c r="C5" s="18">
        <f>IF('Presupuesto Ciete'!D15="","",'Presupuesto Ciete'!D15)</f>
        <v>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43" t="str">
        <f>IF('Presupuesto Ciete'!B15="","",'Presupuesto Ciete'!B15)</f>
        <v>PROYECTO OFICIAL. MEDIO</v>
      </c>
      <c r="T5" s="19" t="str">
        <f>IF(A5="","",'Presupuesto Ciete'!$B$1)</f>
        <v>ES334500</v>
      </c>
    </row>
    <row r="6" spans="1:20" x14ac:dyDescent="0.25">
      <c r="A6" s="38" t="str">
        <f>IF('Presupuesto Ciete'!C16="","",'Presupuesto Ciete'!C16)</f>
        <v>165031</v>
      </c>
      <c r="B6" s="18">
        <f>IF('Presupuesto Ciete'!B16="","",'Presupuesto Ciete'!A16)</f>
        <v>5</v>
      </c>
      <c r="C6" s="18">
        <f>IF('Presupuesto Ciete'!D16="","",'Presupuesto Ciete'!D16)</f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43" t="str">
        <f>IF('Presupuesto Ciete'!B16="","",'Presupuesto Ciete'!B16)</f>
        <v>INGENIERIA DE DETALLE. MEDIO</v>
      </c>
      <c r="T6" s="19" t="str">
        <f>IF(A6="","",'Presupuesto Ciete'!$B$1)</f>
        <v>ES334500</v>
      </c>
    </row>
    <row r="7" spans="1:20" x14ac:dyDescent="0.25">
      <c r="A7" s="38" t="str">
        <f>IF('Presupuesto Ciete'!C18="","",'Presupuesto Ciete'!C18)</f>
        <v>181825</v>
      </c>
      <c r="B7" s="18">
        <f>IF('Presupuesto Ciete'!B18="","",'Presupuesto Ciete'!A18)</f>
        <v>6</v>
      </c>
      <c r="C7" s="18">
        <f>IF('Presupuesto Ciete'!D18="","",'Presupuesto Ciete'!D18)</f>
        <v>1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43" t="str">
        <f>IF('Presupuesto Ciete'!B18="","",'Presupuesto Ciete'!B18)</f>
        <v>CFO PROYECTO COMPLEJO</v>
      </c>
      <c r="T7" s="19" t="str">
        <f>IF(A7="","",'Presupuesto Ciete'!$B$1)</f>
        <v>ES334500</v>
      </c>
    </row>
    <row r="8" spans="1:20" x14ac:dyDescent="0.25">
      <c r="A8" s="38" t="str">
        <f>IF('Presupuesto Ciete'!C20="","",'Presupuesto Ciete'!C20)</f>
        <v>181874</v>
      </c>
      <c r="B8" s="18">
        <f>IF('Presupuesto Ciete'!B20="","",'Presupuesto Ciete'!A20)</f>
        <v>7</v>
      </c>
      <c r="C8" s="18">
        <f>IF('Presupuesto Ciete'!D20="","",'Presupuesto Ciete'!D20)</f>
        <v>1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43" t="str">
        <f>IF('Presupuesto Ciete'!B20="","",'Presupuesto Ciete'!B20)</f>
        <v>OBT. AYTO DE LICENCIA PJT CMPT INSTALA.</v>
      </c>
      <c r="T8" s="19" t="str">
        <f>IF(A8="","",'Presupuesto Ciete'!$B$1)</f>
        <v>ES334500</v>
      </c>
    </row>
    <row r="9" spans="1:20" x14ac:dyDescent="0.25">
      <c r="A9" s="38" t="str">
        <f>IF('Presupuesto Ciete'!C22="","",'Presupuesto Ciete'!C22)</f>
        <v>181874</v>
      </c>
      <c r="B9" s="18">
        <f>IF('Presupuesto Ciete'!B22="","",'Presupuesto Ciete'!A22)</f>
        <v>8</v>
      </c>
      <c r="C9" s="18">
        <f>IF('Presupuesto Ciete'!D22="","",'Presupuesto Ciete'!D22)</f>
        <v>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43" t="str">
        <f>IF('Presupuesto Ciete'!B22="","",'Presupuesto Ciete'!B22)</f>
        <v>OBT. AYTO DE LICENCIA PJT CMPT INSTALA.</v>
      </c>
      <c r="T9" s="19" t="str">
        <f>IF(A9="","",'Presupuesto Ciete'!$B$1)</f>
        <v>ES334500</v>
      </c>
    </row>
    <row r="10" spans="1:20" x14ac:dyDescent="0.25">
      <c r="A10" s="38" t="str">
        <f>IF('Presupuesto Ciete'!C24="","",'Presupuesto Ciete'!C24)</f>
        <v>165042</v>
      </c>
      <c r="B10" s="18">
        <f>IF('Presupuesto Ciete'!B24="","",'Presupuesto Ciete'!A24)</f>
        <v>9</v>
      </c>
      <c r="C10" s="18">
        <f>IF('Presupuesto Ciete'!D24="","",'Presupuesto Ciete'!D24)</f>
        <v>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43" t="str">
        <f>IF('Presupuesto Ciete'!B24="","",'Presupuesto Ciete'!B24)</f>
        <v>ESTUDIO OBTENCION CERTIF. COMP URBANIST</v>
      </c>
      <c r="T10" s="19" t="str">
        <f>IF(A10="","",'Presupuesto Ciete'!$B$1)</f>
        <v>ES334500</v>
      </c>
    </row>
    <row r="11" spans="1:20" x14ac:dyDescent="0.25">
      <c r="A11" s="38" t="str">
        <f>IF('Presupuesto Ciete'!C26="","",'Presupuesto Ciete'!C26)</f>
        <v/>
      </c>
      <c r="B11" s="18" t="str">
        <f>IF('Presupuesto Ciete'!B26="","",'Presupuesto Ciete'!A26)</f>
        <v/>
      </c>
      <c r="C11" s="18" t="str">
        <f>IF('Presupuesto Ciete'!D26="","",'Presupuesto Ciete'!D26)</f>
        <v/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43" t="str">
        <f>IF('Presupuesto Ciete'!B26="","",'Presupuesto Ciete'!B26)</f>
        <v/>
      </c>
      <c r="T11" s="19" t="str">
        <f>IF(A11="","",'Presupuesto Ciete'!$B$1)</f>
        <v/>
      </c>
    </row>
    <row r="12" spans="1:20" x14ac:dyDescent="0.25">
      <c r="A12" s="38" t="str">
        <f>IF('Presupuesto Ciete'!C27="","",'Presupuesto Ciete'!C27)</f>
        <v/>
      </c>
      <c r="B12" s="18" t="str">
        <f>IF('Presupuesto Ciete'!B27="","",'Presupuesto Ciete'!A27)</f>
        <v/>
      </c>
      <c r="C12" s="18" t="str">
        <f>IF('Presupuesto Ciete'!D27="","",'Presupuesto Ciete'!D27)</f>
        <v/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43" t="str">
        <f>IF('Presupuesto Ciete'!B27="","",'Presupuesto Ciete'!B27)</f>
        <v/>
      </c>
      <c r="T12" s="19" t="str">
        <f>IF(A12="","",'Presupuesto Ciete'!$B$1)</f>
        <v/>
      </c>
    </row>
    <row r="13" spans="1:20" x14ac:dyDescent="0.25">
      <c r="A13" s="38" t="str">
        <f>IF('Presupuesto Ciete'!C28="","",'Presupuesto Ciete'!C28)</f>
        <v/>
      </c>
      <c r="B13" s="18" t="str">
        <f>IF('Presupuesto Ciete'!B28="","",'Presupuesto Ciete'!A28)</f>
        <v/>
      </c>
      <c r="C13" s="18" t="str">
        <f>IF('Presupuesto Ciete'!D28="","",'Presupuesto Ciete'!D28)</f>
        <v/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43" t="str">
        <f>IF('Presupuesto Ciete'!B28="","",'Presupuesto Ciete'!B28)</f>
        <v/>
      </c>
      <c r="T13" s="19" t="str">
        <f>IF(A13="","",'Presupuesto Ciete'!$B$1)</f>
        <v/>
      </c>
    </row>
    <row r="14" spans="1:20" x14ac:dyDescent="0.25">
      <c r="A14" s="38" t="str">
        <f>IF('Presupuesto Ciete'!C29="","",'Presupuesto Ciete'!C29)</f>
        <v/>
      </c>
      <c r="B14" s="18" t="str">
        <f>IF('Presupuesto Ciete'!B29="","",'Presupuesto Ciete'!A29)</f>
        <v/>
      </c>
      <c r="C14" s="18" t="str">
        <f>IF('Presupuesto Ciete'!D29="","",'Presupuesto Ciete'!D29)</f>
        <v/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43" t="str">
        <f>IF('Presupuesto Ciete'!B29="","",'Presupuesto Ciete'!B29)</f>
        <v/>
      </c>
      <c r="T14" s="19" t="str">
        <f>IF(A14="","",'Presupuesto Ciete'!$B$1)</f>
        <v/>
      </c>
    </row>
    <row r="15" spans="1:20" x14ac:dyDescent="0.25">
      <c r="A15" s="38" t="str">
        <f>IF('Presupuesto Ciete'!C30="","",'Presupuesto Ciete'!C30)</f>
        <v/>
      </c>
      <c r="B15" s="18" t="str">
        <f>IF('Presupuesto Ciete'!B30="","",'Presupuesto Ciete'!A30)</f>
        <v/>
      </c>
      <c r="C15" s="18" t="str">
        <f>IF('Presupuesto Ciete'!D30="","",'Presupuesto Ciete'!D30)</f>
        <v/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43" t="str">
        <f>IF('Presupuesto Ciete'!B30="","",'Presupuesto Ciete'!B30)</f>
        <v/>
      </c>
      <c r="T15" s="19" t="str">
        <f>IF(A15="","",'Presupuesto Ciete'!$B$1)</f>
        <v/>
      </c>
    </row>
    <row r="16" spans="1:20" x14ac:dyDescent="0.25">
      <c r="A16" s="38" t="str">
        <f>IF('Presupuesto Ciete'!C31="","",'Presupuesto Ciete'!C31)</f>
        <v/>
      </c>
      <c r="B16" s="18" t="str">
        <f>IF('Presupuesto Ciete'!B31="","",'Presupuesto Ciete'!A31)</f>
        <v/>
      </c>
      <c r="C16" s="18" t="str">
        <f>IF('Presupuesto Ciete'!D31="","",'Presupuesto Ciete'!D31)</f>
        <v/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43" t="str">
        <f>IF('Presupuesto Ciete'!B31="","",'Presupuesto Ciete'!B31)</f>
        <v/>
      </c>
      <c r="T16" s="19" t="str">
        <f>IF(A16="","",'Presupuesto Ciete'!$B$1)</f>
        <v/>
      </c>
    </row>
    <row r="17" spans="1:20" x14ac:dyDescent="0.25">
      <c r="A17" s="3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43"/>
      <c r="T17" s="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workbookViewId="0">
      <selection activeCell="D39" sqref="D39"/>
    </sheetView>
  </sheetViews>
  <sheetFormatPr baseColWidth="10" defaultRowHeight="12.75" x14ac:dyDescent="0.2"/>
  <cols>
    <col min="1" max="1" width="12" style="1"/>
    <col min="2" max="2" width="51" style="1" bestFit="1" customWidth="1"/>
    <col min="3" max="3" width="10.6640625" style="1" bestFit="1" customWidth="1"/>
    <col min="4" max="4" width="11.5" style="1" bestFit="1" customWidth="1"/>
    <col min="5" max="5" width="50.6640625" style="1" bestFit="1" customWidth="1"/>
    <col min="6" max="6" width="4.1640625" style="1" bestFit="1" customWidth="1"/>
    <col min="7" max="7" width="12" style="1"/>
    <col min="8" max="8" width="13.5" style="1" bestFit="1" customWidth="1"/>
    <col min="9" max="9" width="4.1640625" style="1" bestFit="1" customWidth="1"/>
    <col min="10" max="16384" width="12" style="1"/>
  </cols>
  <sheetData>
    <row r="1" spans="2:11" ht="13.5" thickBot="1" x14ac:dyDescent="0.25"/>
    <row r="2" spans="2:11" ht="13.5" thickBot="1" x14ac:dyDescent="0.25">
      <c r="B2" s="92" t="s">
        <v>6250</v>
      </c>
      <c r="C2" s="93"/>
      <c r="D2" s="93"/>
      <c r="E2" s="94"/>
    </row>
    <row r="3" spans="2:11" ht="13.5" thickBot="1" x14ac:dyDescent="0.25"/>
    <row r="4" spans="2:11" ht="19.5" thickBot="1" x14ac:dyDescent="0.25">
      <c r="B4" s="68" t="s">
        <v>6251</v>
      </c>
      <c r="C4" s="103"/>
      <c r="D4" s="104"/>
      <c r="E4" s="105"/>
      <c r="H4" s="95" t="s">
        <v>33</v>
      </c>
      <c r="I4" s="97" t="str">
        <f>VLOOKUP(I9,'Listado ES'!A:F,3,FALSE)</f>
        <v>A-3 PK 345</v>
      </c>
      <c r="J4" s="98"/>
      <c r="K4" s="99"/>
    </row>
    <row r="5" spans="2:11" ht="19.5" thickBot="1" x14ac:dyDescent="0.25">
      <c r="B5" s="69" t="s">
        <v>6252</v>
      </c>
      <c r="C5" s="103"/>
      <c r="D5" s="104"/>
      <c r="E5" s="105"/>
      <c r="H5" s="96"/>
      <c r="I5" s="100" t="str">
        <f>VLOOKUP(I9,'Listado ES'!A:F,5,FALSE)</f>
        <v>CUART DE POBLET</v>
      </c>
      <c r="J5" s="101"/>
      <c r="K5" s="102"/>
    </row>
    <row r="6" spans="2:11" ht="19.5" thickBot="1" x14ac:dyDescent="0.25">
      <c r="B6" s="69" t="s">
        <v>70</v>
      </c>
      <c r="C6" s="103">
        <v>1024</v>
      </c>
      <c r="D6" s="104"/>
      <c r="E6" s="105"/>
      <c r="H6" s="78" t="s">
        <v>34</v>
      </c>
      <c r="I6" s="86" t="str">
        <f>VLOOKUP(I9,'Listado ES'!A:F,6,FALSE)</f>
        <v>VALENCIA</v>
      </c>
      <c r="J6" s="87"/>
      <c r="K6" s="88"/>
    </row>
    <row r="7" spans="2:11" ht="13.5" thickBot="1" x14ac:dyDescent="0.25">
      <c r="B7" s="70" t="s">
        <v>68</v>
      </c>
      <c r="C7" s="103"/>
      <c r="D7" s="104"/>
      <c r="E7" s="105"/>
    </row>
    <row r="8" spans="2:11" x14ac:dyDescent="0.2">
      <c r="B8" s="106" t="s">
        <v>71</v>
      </c>
      <c r="C8" s="73" t="s">
        <v>8</v>
      </c>
      <c r="D8" s="74" t="s">
        <v>5</v>
      </c>
      <c r="E8" s="71" t="s">
        <v>25</v>
      </c>
    </row>
    <row r="9" spans="2:11" ht="13.5" x14ac:dyDescent="0.2">
      <c r="B9" s="107"/>
      <c r="C9" s="75" t="str">
        <f>'Exportar CSV Comas'!A2</f>
        <v>165052</v>
      </c>
      <c r="D9" s="76">
        <f>'Exportar CSV Comas'!C2</f>
        <v>40</v>
      </c>
      <c r="E9" s="77" t="str">
        <f>'Exportar CSV Comas'!S2</f>
        <v>SERVICIO DIRECCION DE PROYECTO</v>
      </c>
      <c r="H9" s="1" t="str">
        <f>VLOOKUP(I9,'Listado ES'!A:F,2,FALSE)</f>
        <v>LA SENYERA I</v>
      </c>
      <c r="I9" s="1">
        <f>LEFT(RIGHT('Presupuesto Ciete'!B1,6),5)+1-1</f>
        <v>33450</v>
      </c>
    </row>
    <row r="10" spans="2:11" ht="13.5" x14ac:dyDescent="0.2">
      <c r="B10" s="107"/>
      <c r="C10" s="75" t="str">
        <f>'Exportar CSV Comas'!A3</f>
        <v>165023</v>
      </c>
      <c r="D10" s="76">
        <f>'Exportar CSV Comas'!C3</f>
        <v>3</v>
      </c>
      <c r="E10" s="77" t="str">
        <f>'Exportar CSV Comas'!S3</f>
        <v>TOMA DE DATOS SIMPLE</v>
      </c>
    </row>
    <row r="11" spans="2:11" ht="13.5" x14ac:dyDescent="0.2">
      <c r="B11" s="107"/>
      <c r="C11" s="75" t="str">
        <f>'Exportar CSV Comas'!A4</f>
        <v>181871</v>
      </c>
      <c r="D11" s="76">
        <f>'Exportar CSV Comas'!C4</f>
        <v>1</v>
      </c>
      <c r="E11" s="77" t="str">
        <f>'Exportar CSV Comas'!S4</f>
        <v>PJT LEGA. ACTI./INST. PJT CMPT INSTALA.</v>
      </c>
    </row>
    <row r="12" spans="2:11" ht="13.5" x14ac:dyDescent="0.2">
      <c r="B12" s="107"/>
      <c r="C12" s="75" t="str">
        <f>'Exportar CSV Comas'!A5</f>
        <v>165027</v>
      </c>
      <c r="D12" s="76">
        <f>'Exportar CSV Comas'!C5</f>
        <v>1</v>
      </c>
      <c r="E12" s="77" t="str">
        <f>'Exportar CSV Comas'!S5</f>
        <v>PROYECTO OFICIAL. MEDIO</v>
      </c>
    </row>
    <row r="13" spans="2:11" ht="13.5" x14ac:dyDescent="0.2">
      <c r="B13" s="107"/>
      <c r="C13" s="75" t="str">
        <f>'Exportar CSV Comas'!A6</f>
        <v>165031</v>
      </c>
      <c r="D13" s="76">
        <f>'Exportar CSV Comas'!C6</f>
        <v>1</v>
      </c>
      <c r="E13" s="77" t="str">
        <f>'Exportar CSV Comas'!S6</f>
        <v>INGENIERIA DE DETALLE. MEDIO</v>
      </c>
    </row>
    <row r="14" spans="2:11" ht="13.5" x14ac:dyDescent="0.2">
      <c r="B14" s="107"/>
      <c r="C14" s="75" t="str">
        <f>'Exportar CSV Comas'!A7</f>
        <v>181825</v>
      </c>
      <c r="D14" s="76">
        <f>'Exportar CSV Comas'!C7</f>
        <v>1</v>
      </c>
      <c r="E14" s="77" t="str">
        <f>'Exportar CSV Comas'!S7</f>
        <v>CFO PROYECTO COMPLEJO</v>
      </c>
    </row>
    <row r="15" spans="2:11" ht="13.5" x14ac:dyDescent="0.2">
      <c r="B15" s="107"/>
      <c r="C15" s="75" t="str">
        <f>'Exportar CSV Comas'!A8</f>
        <v>181874</v>
      </c>
      <c r="D15" s="76">
        <f>'Exportar CSV Comas'!C8</f>
        <v>1</v>
      </c>
      <c r="E15" s="77" t="str">
        <f>'Exportar CSV Comas'!S8</f>
        <v>OBT. AYTO DE LICENCIA PJT CMPT INSTALA.</v>
      </c>
    </row>
    <row r="16" spans="2:11" ht="13.5" x14ac:dyDescent="0.2">
      <c r="B16" s="107"/>
      <c r="C16" s="75" t="str">
        <f>'Exportar CSV Comas'!A9</f>
        <v>181874</v>
      </c>
      <c r="D16" s="76">
        <f>'Exportar CSV Comas'!C9</f>
        <v>1</v>
      </c>
      <c r="E16" s="77" t="str">
        <f>'Exportar CSV Comas'!S9</f>
        <v>OBT. AYTO DE LICENCIA PJT CMPT INSTALA.</v>
      </c>
    </row>
    <row r="17" spans="2:5" ht="14.25" thickBot="1" x14ac:dyDescent="0.25">
      <c r="B17" s="108"/>
      <c r="C17" s="75" t="str">
        <f>'Exportar CSV Comas'!A10</f>
        <v>165042</v>
      </c>
      <c r="D17" s="76">
        <f>'Exportar CSV Comas'!C10</f>
        <v>1</v>
      </c>
      <c r="E17" s="77" t="str">
        <f>'Exportar CSV Comas'!S10</f>
        <v>ESTUDIO OBTENCION CERTIF. COMP URBANIST</v>
      </c>
    </row>
    <row r="18" spans="2:5" ht="13.5" thickBot="1" x14ac:dyDescent="0.25">
      <c r="B18" s="69" t="s">
        <v>29</v>
      </c>
      <c r="C18" s="103" t="str">
        <f>'Presupuesto Ciete'!B7</f>
        <v>Legalización</v>
      </c>
      <c r="D18" s="104"/>
      <c r="E18" s="105"/>
    </row>
    <row r="19" spans="2:5" ht="14.25" thickBot="1" x14ac:dyDescent="0.25">
      <c r="B19" s="69" t="s">
        <v>6253</v>
      </c>
      <c r="C19" s="112" t="str">
        <f>CONCATENATE("E.S. ",H9," - Nº",I9)</f>
        <v>E.S. LA SENYERA I - Nº33450</v>
      </c>
      <c r="D19" s="113"/>
      <c r="E19" s="114"/>
    </row>
    <row r="20" spans="2:5" ht="14.25" thickBot="1" x14ac:dyDescent="0.25">
      <c r="B20" s="70" t="s">
        <v>69</v>
      </c>
      <c r="C20" s="89">
        <f>'Presupuesto Ciete'!F29</f>
        <v>13940</v>
      </c>
      <c r="D20" s="90"/>
      <c r="E20" s="91"/>
    </row>
    <row r="21" spans="2:5" ht="14.25" thickBot="1" x14ac:dyDescent="0.25">
      <c r="B21" s="69" t="s">
        <v>6254</v>
      </c>
      <c r="C21" s="89" t="s">
        <v>6255</v>
      </c>
      <c r="D21" s="90"/>
      <c r="E21" s="91"/>
    </row>
    <row r="22" spans="2:5" ht="14.25" thickBot="1" x14ac:dyDescent="0.25">
      <c r="B22" s="69" t="s">
        <v>67</v>
      </c>
      <c r="C22" s="109" t="s">
        <v>2145</v>
      </c>
      <c r="D22" s="110"/>
      <c r="E22" s="111"/>
    </row>
  </sheetData>
  <mergeCells count="15">
    <mergeCell ref="C21:E21"/>
    <mergeCell ref="C22:E22"/>
    <mergeCell ref="C19:E19"/>
    <mergeCell ref="C18:E18"/>
    <mergeCell ref="C6:E6"/>
    <mergeCell ref="C7:E7"/>
    <mergeCell ref="I6:K6"/>
    <mergeCell ref="C20:E20"/>
    <mergeCell ref="B2:E2"/>
    <mergeCell ref="H4:H5"/>
    <mergeCell ref="I4:K4"/>
    <mergeCell ref="I5:K5"/>
    <mergeCell ref="C4:E4"/>
    <mergeCell ref="C5:E5"/>
    <mergeCell ref="B8:B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G173"/>
  <sheetViews>
    <sheetView workbookViewId="0">
      <selection activeCell="C169" sqref="C169"/>
    </sheetView>
  </sheetViews>
  <sheetFormatPr baseColWidth="10" defaultRowHeight="12.75" x14ac:dyDescent="0.2"/>
  <cols>
    <col min="1" max="1" width="12" style="1"/>
    <col min="2" max="2" width="12.1640625" style="48" bestFit="1" customWidth="1"/>
    <col min="3" max="3" width="63.83203125" style="49" customWidth="1"/>
    <col min="4" max="4" width="12.1640625" style="48" bestFit="1" customWidth="1"/>
    <col min="5" max="5" width="12.6640625" style="48" bestFit="1" customWidth="1"/>
    <col min="6" max="16384" width="12" style="1"/>
  </cols>
  <sheetData>
    <row r="2" spans="2:5" ht="36.6" hidden="1" customHeight="1" x14ac:dyDescent="0.2">
      <c r="B2" s="46" t="s">
        <v>73</v>
      </c>
      <c r="C2" s="45" t="s">
        <v>74</v>
      </c>
      <c r="D2" s="46" t="s">
        <v>73</v>
      </c>
      <c r="E2" s="47" t="s">
        <v>75</v>
      </c>
    </row>
    <row r="3" spans="2:5" hidden="1" x14ac:dyDescent="0.2">
      <c r="B3" s="44" t="s">
        <v>2146</v>
      </c>
      <c r="C3" s="50" t="s">
        <v>1855</v>
      </c>
      <c r="D3" s="44" t="s">
        <v>2146</v>
      </c>
      <c r="E3" s="51">
        <v>510</v>
      </c>
    </row>
    <row r="4" spans="2:5" hidden="1" x14ac:dyDescent="0.2">
      <c r="B4" s="44" t="s">
        <v>2147</v>
      </c>
      <c r="C4" s="50" t="s">
        <v>2148</v>
      </c>
      <c r="D4" s="44" t="s">
        <v>2147</v>
      </c>
      <c r="E4" s="51">
        <v>610</v>
      </c>
    </row>
    <row r="5" spans="2:5" hidden="1" x14ac:dyDescent="0.2">
      <c r="B5" s="44" t="s">
        <v>2149</v>
      </c>
      <c r="C5" s="50" t="s">
        <v>2150</v>
      </c>
      <c r="D5" s="44" t="s">
        <v>2149</v>
      </c>
      <c r="E5" s="51">
        <v>880</v>
      </c>
    </row>
    <row r="6" spans="2:5" hidden="1" x14ac:dyDescent="0.2">
      <c r="B6" s="44" t="s">
        <v>2151</v>
      </c>
      <c r="C6" s="50" t="s">
        <v>2152</v>
      </c>
      <c r="D6" s="44" t="s">
        <v>2151</v>
      </c>
      <c r="E6" s="51">
        <v>1400</v>
      </c>
    </row>
    <row r="7" spans="2:5" hidden="1" x14ac:dyDescent="0.2">
      <c r="B7" s="44" t="s">
        <v>2153</v>
      </c>
      <c r="C7" s="50" t="s">
        <v>2154</v>
      </c>
      <c r="D7" s="44" t="s">
        <v>2153</v>
      </c>
      <c r="E7" s="51">
        <v>1600</v>
      </c>
    </row>
    <row r="8" spans="2:5" hidden="1" x14ac:dyDescent="0.2">
      <c r="B8" s="44" t="s">
        <v>2155</v>
      </c>
      <c r="C8" s="50" t="s">
        <v>2156</v>
      </c>
      <c r="D8" s="44" t="s">
        <v>2155</v>
      </c>
      <c r="E8" s="51">
        <v>292</v>
      </c>
    </row>
    <row r="9" spans="2:5" hidden="1" x14ac:dyDescent="0.2">
      <c r="B9" s="44" t="s">
        <v>2157</v>
      </c>
      <c r="C9" s="50" t="s">
        <v>1830</v>
      </c>
      <c r="D9" s="44" t="s">
        <v>2157</v>
      </c>
      <c r="E9" s="51">
        <v>200</v>
      </c>
    </row>
    <row r="10" spans="2:5" hidden="1" x14ac:dyDescent="0.2">
      <c r="B10" s="44" t="s">
        <v>2158</v>
      </c>
      <c r="C10" s="50" t="s">
        <v>1831</v>
      </c>
      <c r="D10" s="44" t="s">
        <v>2158</v>
      </c>
      <c r="E10" s="51">
        <v>350</v>
      </c>
    </row>
    <row r="11" spans="2:5" hidden="1" x14ac:dyDescent="0.2">
      <c r="B11" s="44" t="s">
        <v>2159</v>
      </c>
      <c r="C11" s="50" t="s">
        <v>1832</v>
      </c>
      <c r="D11" s="44" t="s">
        <v>2159</v>
      </c>
      <c r="E11" s="51">
        <v>400</v>
      </c>
    </row>
    <row r="12" spans="2:5" hidden="1" x14ac:dyDescent="0.2">
      <c r="B12" s="44" t="s">
        <v>2160</v>
      </c>
      <c r="C12" s="50" t="s">
        <v>1833</v>
      </c>
      <c r="D12" s="44" t="s">
        <v>2160</v>
      </c>
      <c r="E12" s="51">
        <v>450</v>
      </c>
    </row>
    <row r="13" spans="2:5" hidden="1" x14ac:dyDescent="0.2">
      <c r="B13" s="44" t="s">
        <v>2161</v>
      </c>
      <c r="C13" s="50" t="s">
        <v>2162</v>
      </c>
      <c r="D13" s="44" t="s">
        <v>2161</v>
      </c>
      <c r="E13" s="51">
        <v>920</v>
      </c>
    </row>
    <row r="14" spans="2:5" hidden="1" x14ac:dyDescent="0.2">
      <c r="B14" s="44" t="s">
        <v>2163</v>
      </c>
      <c r="C14" s="50" t="s">
        <v>2164</v>
      </c>
      <c r="D14" s="44" t="s">
        <v>2163</v>
      </c>
      <c r="E14" s="51">
        <v>300</v>
      </c>
    </row>
    <row r="15" spans="2:5" hidden="1" x14ac:dyDescent="0.2">
      <c r="B15" s="44" t="s">
        <v>2165</v>
      </c>
      <c r="C15" s="50" t="s">
        <v>2166</v>
      </c>
      <c r="D15" s="44" t="s">
        <v>2165</v>
      </c>
      <c r="E15" s="51">
        <v>425</v>
      </c>
    </row>
    <row r="16" spans="2:5" hidden="1" x14ac:dyDescent="0.2">
      <c r="B16" s="44" t="s">
        <v>2167</v>
      </c>
      <c r="C16" s="50" t="s">
        <v>2168</v>
      </c>
      <c r="D16" s="44" t="s">
        <v>2167</v>
      </c>
      <c r="E16" s="51">
        <v>600</v>
      </c>
    </row>
    <row r="17" spans="1:5" hidden="1" x14ac:dyDescent="0.2">
      <c r="B17" s="44" t="s">
        <v>2169</v>
      </c>
      <c r="C17" s="50" t="s">
        <v>2170</v>
      </c>
      <c r="D17" s="44" t="s">
        <v>2169</v>
      </c>
      <c r="E17" s="51">
        <v>750</v>
      </c>
    </row>
    <row r="18" spans="1:5" hidden="1" x14ac:dyDescent="0.2">
      <c r="B18" s="44" t="s">
        <v>2171</v>
      </c>
      <c r="C18" s="50" t="s">
        <v>2172</v>
      </c>
      <c r="D18" s="44" t="s">
        <v>2171</v>
      </c>
      <c r="E18" s="51">
        <v>450</v>
      </c>
    </row>
    <row r="19" spans="1:5" hidden="1" x14ac:dyDescent="0.2">
      <c r="A19" s="3"/>
      <c r="B19" s="44" t="s">
        <v>2173</v>
      </c>
      <c r="C19" s="50" t="s">
        <v>1821</v>
      </c>
      <c r="D19" s="44" t="s">
        <v>2173</v>
      </c>
      <c r="E19" s="51">
        <v>1050</v>
      </c>
    </row>
    <row r="20" spans="1:5" hidden="1" x14ac:dyDescent="0.2">
      <c r="B20" s="44" t="s">
        <v>2174</v>
      </c>
      <c r="C20" s="50" t="s">
        <v>1820</v>
      </c>
      <c r="D20" s="44" t="s">
        <v>2174</v>
      </c>
      <c r="E20" s="51">
        <v>1750</v>
      </c>
    </row>
    <row r="21" spans="1:5" hidden="1" x14ac:dyDescent="0.2">
      <c r="B21" s="44" t="s">
        <v>2175</v>
      </c>
      <c r="C21" s="50" t="s">
        <v>2176</v>
      </c>
      <c r="D21" s="44" t="s">
        <v>2175</v>
      </c>
      <c r="E21" s="51">
        <v>2050</v>
      </c>
    </row>
    <row r="22" spans="1:5" hidden="1" x14ac:dyDescent="0.2">
      <c r="A22" s="2"/>
      <c r="B22" s="44" t="s">
        <v>2177</v>
      </c>
      <c r="C22" s="50" t="s">
        <v>2178</v>
      </c>
      <c r="D22" s="44" t="s">
        <v>2177</v>
      </c>
      <c r="E22" s="51">
        <v>500</v>
      </c>
    </row>
    <row r="23" spans="1:5" hidden="1" x14ac:dyDescent="0.2">
      <c r="B23" s="44" t="s">
        <v>2179</v>
      </c>
      <c r="C23" s="50" t="s">
        <v>2180</v>
      </c>
      <c r="D23" s="44" t="s">
        <v>2179</v>
      </c>
      <c r="E23" s="51">
        <v>250</v>
      </c>
    </row>
    <row r="24" spans="1:5" hidden="1" x14ac:dyDescent="0.2">
      <c r="B24" s="44" t="s">
        <v>2181</v>
      </c>
      <c r="C24" s="50" t="s">
        <v>2182</v>
      </c>
      <c r="D24" s="44" t="s">
        <v>2181</v>
      </c>
      <c r="E24" s="51">
        <v>1200</v>
      </c>
    </row>
    <row r="25" spans="1:5" hidden="1" x14ac:dyDescent="0.2">
      <c r="B25" s="44" t="s">
        <v>2183</v>
      </c>
      <c r="C25" s="50" t="s">
        <v>1837</v>
      </c>
      <c r="D25" s="44" t="s">
        <v>2183</v>
      </c>
      <c r="E25" s="51">
        <v>400</v>
      </c>
    </row>
    <row r="26" spans="1:5" hidden="1" x14ac:dyDescent="0.2">
      <c r="B26" s="44" t="s">
        <v>2184</v>
      </c>
      <c r="C26" s="50" t="s">
        <v>1827</v>
      </c>
      <c r="D26" s="44" t="s">
        <v>2184</v>
      </c>
      <c r="E26" s="51">
        <v>1200</v>
      </c>
    </row>
    <row r="27" spans="1:5" hidden="1" x14ac:dyDescent="0.2">
      <c r="B27" s="44" t="s">
        <v>2185</v>
      </c>
      <c r="C27" s="50" t="s">
        <v>1840</v>
      </c>
      <c r="D27" s="44" t="s">
        <v>2185</v>
      </c>
      <c r="E27" s="51">
        <v>750</v>
      </c>
    </row>
    <row r="28" spans="1:5" hidden="1" x14ac:dyDescent="0.2">
      <c r="B28" s="44" t="s">
        <v>2186</v>
      </c>
      <c r="C28" s="50" t="s">
        <v>1839</v>
      </c>
      <c r="D28" s="44" t="s">
        <v>2186</v>
      </c>
      <c r="E28" s="51">
        <v>1250</v>
      </c>
    </row>
    <row r="29" spans="1:5" hidden="1" x14ac:dyDescent="0.2">
      <c r="B29" s="44" t="s">
        <v>2187</v>
      </c>
      <c r="C29" s="50" t="s">
        <v>1838</v>
      </c>
      <c r="D29" s="44" t="s">
        <v>2187</v>
      </c>
      <c r="E29" s="51">
        <v>2250</v>
      </c>
    </row>
    <row r="30" spans="1:5" hidden="1" x14ac:dyDescent="0.2">
      <c r="B30" s="44" t="s">
        <v>2188</v>
      </c>
      <c r="C30" s="50" t="s">
        <v>2189</v>
      </c>
      <c r="D30" s="44" t="s">
        <v>2188</v>
      </c>
      <c r="E30" s="51">
        <v>4800</v>
      </c>
    </row>
    <row r="31" spans="1:5" hidden="1" x14ac:dyDescent="0.2">
      <c r="B31" s="44" t="s">
        <v>2190</v>
      </c>
      <c r="C31" s="50" t="s">
        <v>2191</v>
      </c>
      <c r="D31" s="44" t="s">
        <v>2190</v>
      </c>
      <c r="E31" s="51">
        <v>400</v>
      </c>
    </row>
    <row r="32" spans="1:5" hidden="1" x14ac:dyDescent="0.2">
      <c r="B32" s="44" t="s">
        <v>2192</v>
      </c>
      <c r="C32" s="50" t="s">
        <v>2193</v>
      </c>
      <c r="D32" s="44" t="s">
        <v>2192</v>
      </c>
      <c r="E32" s="51">
        <v>650</v>
      </c>
    </row>
    <row r="33" spans="2:5" hidden="1" x14ac:dyDescent="0.2">
      <c r="B33" s="44" t="s">
        <v>2194</v>
      </c>
      <c r="C33" s="50" t="s">
        <v>2195</v>
      </c>
      <c r="D33" s="44" t="s">
        <v>2194</v>
      </c>
      <c r="E33" s="51">
        <v>900</v>
      </c>
    </row>
    <row r="34" spans="2:5" hidden="1" x14ac:dyDescent="0.2">
      <c r="B34" s="44" t="s">
        <v>2196</v>
      </c>
      <c r="C34" s="50" t="s">
        <v>2197</v>
      </c>
      <c r="D34" s="44" t="s">
        <v>2196</v>
      </c>
      <c r="E34" s="51">
        <v>121.5</v>
      </c>
    </row>
    <row r="35" spans="2:5" hidden="1" x14ac:dyDescent="0.2">
      <c r="B35" s="44" t="s">
        <v>2198</v>
      </c>
      <c r="C35" s="50" t="s">
        <v>2199</v>
      </c>
      <c r="D35" s="44" t="s">
        <v>2198</v>
      </c>
      <c r="E35" s="51">
        <v>113</v>
      </c>
    </row>
    <row r="36" spans="2:5" hidden="1" x14ac:dyDescent="0.2">
      <c r="B36" s="44" t="s">
        <v>2200</v>
      </c>
      <c r="C36" s="50" t="s">
        <v>2201</v>
      </c>
      <c r="D36" s="44" t="s">
        <v>2200</v>
      </c>
      <c r="E36" s="51">
        <v>142</v>
      </c>
    </row>
    <row r="37" spans="2:5" hidden="1" x14ac:dyDescent="0.2">
      <c r="B37" s="44" t="s">
        <v>2202</v>
      </c>
      <c r="C37" s="50" t="s">
        <v>2203</v>
      </c>
      <c r="D37" s="44" t="s">
        <v>2202</v>
      </c>
      <c r="E37" s="51">
        <v>155</v>
      </c>
    </row>
    <row r="38" spans="2:5" hidden="1" x14ac:dyDescent="0.2">
      <c r="B38" s="44" t="s">
        <v>2204</v>
      </c>
      <c r="C38" s="50" t="s">
        <v>2205</v>
      </c>
      <c r="D38" s="44" t="s">
        <v>2204</v>
      </c>
      <c r="E38" s="51">
        <v>100</v>
      </c>
    </row>
    <row r="39" spans="2:5" hidden="1" x14ac:dyDescent="0.2">
      <c r="B39" s="44" t="s">
        <v>2206</v>
      </c>
      <c r="C39" s="50" t="s">
        <v>2207</v>
      </c>
      <c r="D39" s="44" t="s">
        <v>2206</v>
      </c>
      <c r="E39" s="51">
        <v>144</v>
      </c>
    </row>
    <row r="40" spans="2:5" hidden="1" x14ac:dyDescent="0.2">
      <c r="B40" s="44" t="s">
        <v>2208</v>
      </c>
      <c r="C40" s="50" t="s">
        <v>2209</v>
      </c>
      <c r="D40" s="44" t="s">
        <v>2208</v>
      </c>
      <c r="E40" s="51">
        <v>113</v>
      </c>
    </row>
    <row r="41" spans="2:5" hidden="1" x14ac:dyDescent="0.2">
      <c r="B41" s="44" t="s">
        <v>2210</v>
      </c>
      <c r="C41" s="50" t="s">
        <v>2211</v>
      </c>
      <c r="D41" s="44" t="s">
        <v>2210</v>
      </c>
      <c r="E41" s="51">
        <v>148</v>
      </c>
    </row>
    <row r="42" spans="2:5" hidden="1" x14ac:dyDescent="0.2">
      <c r="B42" s="44" t="s">
        <v>2212</v>
      </c>
      <c r="C42" s="50" t="s">
        <v>1836</v>
      </c>
      <c r="D42" s="44" t="s">
        <v>2212</v>
      </c>
      <c r="E42" s="51">
        <v>1250</v>
      </c>
    </row>
    <row r="43" spans="2:5" hidden="1" x14ac:dyDescent="0.2">
      <c r="B43" s="44" t="s">
        <v>2213</v>
      </c>
      <c r="C43" s="50" t="s">
        <v>1835</v>
      </c>
      <c r="D43" s="44" t="s">
        <v>2213</v>
      </c>
      <c r="E43" s="51">
        <v>2000</v>
      </c>
    </row>
    <row r="44" spans="2:5" hidden="1" x14ac:dyDescent="0.2">
      <c r="B44" s="44" t="s">
        <v>2214</v>
      </c>
      <c r="C44" s="50" t="s">
        <v>1834</v>
      </c>
      <c r="D44" s="44" t="s">
        <v>2214</v>
      </c>
      <c r="E44" s="51">
        <v>4000</v>
      </c>
    </row>
    <row r="45" spans="2:5" hidden="1" x14ac:dyDescent="0.2">
      <c r="B45" s="44" t="s">
        <v>2215</v>
      </c>
      <c r="C45" s="50" t="s">
        <v>2216</v>
      </c>
      <c r="D45" s="44" t="s">
        <v>2215</v>
      </c>
      <c r="E45" s="51">
        <v>8505</v>
      </c>
    </row>
    <row r="46" spans="2:5" hidden="1" x14ac:dyDescent="0.2">
      <c r="B46" s="44" t="s">
        <v>2217</v>
      </c>
      <c r="C46" s="50" t="s">
        <v>2218</v>
      </c>
      <c r="D46" s="44" t="s">
        <v>2217</v>
      </c>
      <c r="E46" s="51">
        <v>245</v>
      </c>
    </row>
    <row r="47" spans="2:5" hidden="1" x14ac:dyDescent="0.2">
      <c r="B47" s="44" t="s">
        <v>2219</v>
      </c>
      <c r="C47" s="50" t="s">
        <v>2220</v>
      </c>
      <c r="D47" s="44" t="s">
        <v>2219</v>
      </c>
      <c r="E47" s="51">
        <v>365</v>
      </c>
    </row>
    <row r="48" spans="2:5" hidden="1" x14ac:dyDescent="0.2">
      <c r="B48" s="44" t="s">
        <v>2221</v>
      </c>
      <c r="C48" s="50" t="s">
        <v>2222</v>
      </c>
      <c r="D48" s="44" t="s">
        <v>2221</v>
      </c>
      <c r="E48" s="51">
        <v>485</v>
      </c>
    </row>
    <row r="49" spans="2:7" hidden="1" x14ac:dyDescent="0.2">
      <c r="B49" s="44" t="s">
        <v>2223</v>
      </c>
      <c r="C49" s="50" t="s">
        <v>2224</v>
      </c>
      <c r="D49" s="44" t="s">
        <v>2223</v>
      </c>
      <c r="E49" s="51">
        <v>730</v>
      </c>
    </row>
    <row r="50" spans="2:7" hidden="1" x14ac:dyDescent="0.2">
      <c r="B50" s="44" t="s">
        <v>2225</v>
      </c>
      <c r="C50" s="50" t="s">
        <v>2226</v>
      </c>
      <c r="D50" s="44" t="s">
        <v>2225</v>
      </c>
      <c r="E50" s="51">
        <v>122</v>
      </c>
    </row>
    <row r="51" spans="2:7" hidden="1" x14ac:dyDescent="0.2">
      <c r="B51" s="44" t="s">
        <v>2227</v>
      </c>
      <c r="C51" s="50" t="s">
        <v>2228</v>
      </c>
      <c r="D51" s="44" t="s">
        <v>2227</v>
      </c>
      <c r="E51" s="51">
        <v>182</v>
      </c>
    </row>
    <row r="52" spans="2:7" hidden="1" x14ac:dyDescent="0.2">
      <c r="B52" s="44" t="s">
        <v>2229</v>
      </c>
      <c r="C52" s="50" t="s">
        <v>2230</v>
      </c>
      <c r="D52" s="44" t="s">
        <v>2229</v>
      </c>
      <c r="E52" s="51">
        <v>245</v>
      </c>
    </row>
    <row r="53" spans="2:7" hidden="1" x14ac:dyDescent="0.2">
      <c r="B53" s="44" t="s">
        <v>2231</v>
      </c>
      <c r="C53" s="50" t="s">
        <v>2232</v>
      </c>
      <c r="D53" s="44" t="s">
        <v>2231</v>
      </c>
      <c r="E53" s="51">
        <v>365</v>
      </c>
    </row>
    <row r="54" spans="2:7" hidden="1" x14ac:dyDescent="0.2">
      <c r="B54" s="44" t="s">
        <v>2233</v>
      </c>
      <c r="C54" s="50" t="s">
        <v>2234</v>
      </c>
      <c r="D54" s="44" t="s">
        <v>2233</v>
      </c>
      <c r="E54" s="51">
        <v>240</v>
      </c>
    </row>
    <row r="55" spans="2:7" hidden="1" x14ac:dyDescent="0.2">
      <c r="B55" s="44" t="s">
        <v>2235</v>
      </c>
      <c r="C55" s="50" t="s">
        <v>2236</v>
      </c>
      <c r="D55" s="44" t="s">
        <v>2235</v>
      </c>
      <c r="E55" s="51">
        <v>240</v>
      </c>
    </row>
    <row r="56" spans="2:7" hidden="1" x14ac:dyDescent="0.2">
      <c r="B56" s="44" t="s">
        <v>2237</v>
      </c>
      <c r="C56" s="50" t="s">
        <v>2238</v>
      </c>
      <c r="D56" s="44" t="s">
        <v>2237</v>
      </c>
      <c r="E56" s="51">
        <v>240</v>
      </c>
    </row>
    <row r="57" spans="2:7" hidden="1" x14ac:dyDescent="0.2">
      <c r="B57" s="44" t="s">
        <v>2239</v>
      </c>
      <c r="C57" s="50" t="s">
        <v>2240</v>
      </c>
      <c r="D57" s="44" t="s">
        <v>2239</v>
      </c>
      <c r="E57" s="51">
        <v>240</v>
      </c>
    </row>
    <row r="58" spans="2:7" hidden="1" x14ac:dyDescent="0.2">
      <c r="B58" s="44" t="s">
        <v>2241</v>
      </c>
      <c r="C58" s="50" t="s">
        <v>2242</v>
      </c>
      <c r="D58" s="44" t="s">
        <v>2241</v>
      </c>
      <c r="E58" s="51">
        <v>365</v>
      </c>
    </row>
    <row r="59" spans="2:7" hidden="1" x14ac:dyDescent="0.2">
      <c r="B59" s="44" t="s">
        <v>2243</v>
      </c>
      <c r="C59" s="50" t="s">
        <v>2244</v>
      </c>
      <c r="D59" s="44" t="s">
        <v>2243</v>
      </c>
      <c r="E59" s="51">
        <v>600</v>
      </c>
    </row>
    <row r="60" spans="2:7" hidden="1" x14ac:dyDescent="0.2">
      <c r="B60" s="44" t="s">
        <v>2245</v>
      </c>
      <c r="C60" s="50" t="s">
        <v>2246</v>
      </c>
      <c r="D60" s="44" t="s">
        <v>2245</v>
      </c>
      <c r="E60" s="51">
        <v>790</v>
      </c>
    </row>
    <row r="61" spans="2:7" hidden="1" x14ac:dyDescent="0.2">
      <c r="B61" s="44" t="s">
        <v>2247</v>
      </c>
      <c r="C61" s="50" t="s">
        <v>2248</v>
      </c>
      <c r="D61" s="44" t="s">
        <v>2247</v>
      </c>
      <c r="E61" s="51">
        <v>790</v>
      </c>
    </row>
    <row r="62" spans="2:7" ht="15" hidden="1" x14ac:dyDescent="0.2">
      <c r="B62" s="44" t="s">
        <v>2249</v>
      </c>
      <c r="C62" s="50" t="s">
        <v>2250</v>
      </c>
      <c r="D62" s="44" t="s">
        <v>2249</v>
      </c>
      <c r="E62" s="51">
        <v>365</v>
      </c>
      <c r="F62" s="42"/>
      <c r="G62" s="41"/>
    </row>
    <row r="63" spans="2:7" hidden="1" x14ac:dyDescent="0.2">
      <c r="B63" s="44" t="s">
        <v>2251</v>
      </c>
      <c r="C63" s="50" t="s">
        <v>2252</v>
      </c>
      <c r="D63" s="44" t="s">
        <v>2251</v>
      </c>
      <c r="E63" s="51">
        <v>547</v>
      </c>
    </row>
    <row r="64" spans="2:7" hidden="1" x14ac:dyDescent="0.2">
      <c r="B64" s="44" t="s">
        <v>2253</v>
      </c>
      <c r="C64" s="50" t="s">
        <v>2254</v>
      </c>
      <c r="D64" s="44" t="s">
        <v>2253</v>
      </c>
      <c r="E64" s="51">
        <v>1094</v>
      </c>
    </row>
    <row r="65" spans="2:5" hidden="1" x14ac:dyDescent="0.2">
      <c r="B65" s="44" t="s">
        <v>2255</v>
      </c>
      <c r="C65" s="50" t="s">
        <v>2256</v>
      </c>
      <c r="D65" s="44" t="s">
        <v>2255</v>
      </c>
      <c r="E65" s="51">
        <v>365</v>
      </c>
    </row>
    <row r="66" spans="2:5" hidden="1" x14ac:dyDescent="0.2">
      <c r="B66" s="44" t="s">
        <v>2257</v>
      </c>
      <c r="C66" s="50" t="s">
        <v>2258</v>
      </c>
      <c r="D66" s="44" t="s">
        <v>2257</v>
      </c>
      <c r="E66" s="51">
        <v>547</v>
      </c>
    </row>
    <row r="67" spans="2:5" hidden="1" x14ac:dyDescent="0.2">
      <c r="B67" s="44" t="s">
        <v>2259</v>
      </c>
      <c r="C67" s="50" t="s">
        <v>2260</v>
      </c>
      <c r="D67" s="44" t="s">
        <v>2259</v>
      </c>
      <c r="E67" s="51">
        <v>1094</v>
      </c>
    </row>
    <row r="68" spans="2:5" hidden="1" x14ac:dyDescent="0.2">
      <c r="B68" s="44" t="s">
        <v>2261</v>
      </c>
      <c r="C68" s="50" t="s">
        <v>2262</v>
      </c>
      <c r="D68" s="44" t="s">
        <v>2261</v>
      </c>
      <c r="E68" s="51">
        <v>243</v>
      </c>
    </row>
    <row r="69" spans="2:5" hidden="1" x14ac:dyDescent="0.2">
      <c r="B69" s="44" t="s">
        <v>2263</v>
      </c>
      <c r="C69" s="50" t="s">
        <v>2264</v>
      </c>
      <c r="D69" s="44" t="s">
        <v>2263</v>
      </c>
      <c r="E69" s="51">
        <v>470</v>
      </c>
    </row>
    <row r="70" spans="2:5" hidden="1" x14ac:dyDescent="0.2">
      <c r="B70" s="44" t="s">
        <v>2265</v>
      </c>
      <c r="C70" s="50" t="s">
        <v>2266</v>
      </c>
      <c r="D70" s="44" t="s">
        <v>2265</v>
      </c>
      <c r="E70" s="51">
        <v>785</v>
      </c>
    </row>
    <row r="71" spans="2:5" hidden="1" x14ac:dyDescent="0.2">
      <c r="B71" s="44" t="s">
        <v>2267</v>
      </c>
      <c r="C71" s="50" t="s">
        <v>2268</v>
      </c>
      <c r="D71" s="44" t="s">
        <v>2267</v>
      </c>
      <c r="E71" s="51">
        <v>365</v>
      </c>
    </row>
    <row r="72" spans="2:5" hidden="1" x14ac:dyDescent="0.2">
      <c r="B72" s="44" t="s">
        <v>2269</v>
      </c>
      <c r="C72" s="50" t="s">
        <v>2270</v>
      </c>
      <c r="D72" s="44" t="s">
        <v>2269</v>
      </c>
      <c r="E72" s="51">
        <v>547</v>
      </c>
    </row>
    <row r="73" spans="2:5" hidden="1" x14ac:dyDescent="0.2">
      <c r="B73" s="44" t="s">
        <v>2271</v>
      </c>
      <c r="C73" s="50" t="s">
        <v>2272</v>
      </c>
      <c r="D73" s="44" t="s">
        <v>2271</v>
      </c>
      <c r="E73" s="51">
        <v>1094</v>
      </c>
    </row>
    <row r="74" spans="2:5" hidden="1" x14ac:dyDescent="0.2">
      <c r="B74" s="44" t="s">
        <v>2273</v>
      </c>
      <c r="C74" s="50" t="s">
        <v>1816</v>
      </c>
      <c r="D74" s="44" t="s">
        <v>2273</v>
      </c>
      <c r="E74" s="51">
        <v>615</v>
      </c>
    </row>
    <row r="75" spans="2:5" hidden="1" x14ac:dyDescent="0.2">
      <c r="B75" s="44" t="s">
        <v>2274</v>
      </c>
      <c r="C75" s="50" t="s">
        <v>1815</v>
      </c>
      <c r="D75" s="44" t="s">
        <v>2274</v>
      </c>
      <c r="E75" s="51">
        <v>920</v>
      </c>
    </row>
    <row r="76" spans="2:5" hidden="1" x14ac:dyDescent="0.2">
      <c r="B76" s="44" t="s">
        <v>2275</v>
      </c>
      <c r="C76" s="50" t="s">
        <v>1814</v>
      </c>
      <c r="D76" s="44" t="s">
        <v>2275</v>
      </c>
      <c r="E76" s="51">
        <v>2450</v>
      </c>
    </row>
    <row r="77" spans="2:5" hidden="1" x14ac:dyDescent="0.2">
      <c r="B77" s="44" t="s">
        <v>2276</v>
      </c>
      <c r="C77" s="50" t="s">
        <v>2277</v>
      </c>
      <c r="D77" s="44" t="s">
        <v>2276</v>
      </c>
      <c r="E77" s="51">
        <v>2600</v>
      </c>
    </row>
    <row r="78" spans="2:5" hidden="1" x14ac:dyDescent="0.2">
      <c r="B78" s="44" t="s">
        <v>2278</v>
      </c>
      <c r="C78" s="50" t="s">
        <v>1856</v>
      </c>
      <c r="D78" s="44" t="s">
        <v>2278</v>
      </c>
      <c r="E78" s="51">
        <v>320</v>
      </c>
    </row>
    <row r="79" spans="2:5" hidden="1" x14ac:dyDescent="0.2">
      <c r="B79" s="44" t="s">
        <v>2279</v>
      </c>
      <c r="C79" s="50" t="s">
        <v>1857</v>
      </c>
      <c r="D79" s="44" t="s">
        <v>2279</v>
      </c>
      <c r="E79" s="51">
        <v>708</v>
      </c>
    </row>
    <row r="80" spans="2:5" hidden="1" x14ac:dyDescent="0.2">
      <c r="B80" s="44" t="s">
        <v>2280</v>
      </c>
      <c r="C80" s="50" t="s">
        <v>1858</v>
      </c>
      <c r="D80" s="44" t="s">
        <v>2280</v>
      </c>
      <c r="E80" s="51">
        <v>1968</v>
      </c>
    </row>
    <row r="81" spans="2:5" hidden="1" x14ac:dyDescent="0.2">
      <c r="B81" s="44" t="s">
        <v>2436</v>
      </c>
      <c r="C81" s="50" t="s">
        <v>2437</v>
      </c>
      <c r="D81" s="44" t="s">
        <v>2436</v>
      </c>
      <c r="E81" s="51">
        <v>340</v>
      </c>
    </row>
    <row r="82" spans="2:5" hidden="1" x14ac:dyDescent="0.2">
      <c r="B82" s="44" t="s">
        <v>2281</v>
      </c>
      <c r="C82" s="50" t="s">
        <v>2282</v>
      </c>
      <c r="D82" s="44" t="s">
        <v>2281</v>
      </c>
      <c r="E82" s="51">
        <v>750</v>
      </c>
    </row>
    <row r="83" spans="2:5" hidden="1" x14ac:dyDescent="0.2">
      <c r="B83" s="44" t="s">
        <v>2283</v>
      </c>
      <c r="C83" s="50" t="s">
        <v>2284</v>
      </c>
      <c r="D83" s="44" t="s">
        <v>2283</v>
      </c>
      <c r="E83" s="51">
        <v>2200</v>
      </c>
    </row>
    <row r="84" spans="2:5" x14ac:dyDescent="0.2">
      <c r="B84" s="44" t="s">
        <v>2285</v>
      </c>
      <c r="C84" s="50" t="s">
        <v>1819</v>
      </c>
      <c r="D84" s="44" t="s">
        <v>2285</v>
      </c>
      <c r="E84" s="51">
        <v>1700</v>
      </c>
    </row>
    <row r="85" spans="2:5" x14ac:dyDescent="0.2">
      <c r="B85" s="44" t="s">
        <v>2286</v>
      </c>
      <c r="C85" s="50" t="s">
        <v>1818</v>
      </c>
      <c r="D85" s="44" t="s">
        <v>2286</v>
      </c>
      <c r="E85" s="51">
        <v>3560</v>
      </c>
    </row>
    <row r="86" spans="2:5" x14ac:dyDescent="0.2">
      <c r="B86" s="44" t="s">
        <v>2287</v>
      </c>
      <c r="C86" s="50" t="s">
        <v>1817</v>
      </c>
      <c r="D86" s="44" t="s">
        <v>2287</v>
      </c>
      <c r="E86" s="51">
        <v>6300</v>
      </c>
    </row>
    <row r="87" spans="2:5" x14ac:dyDescent="0.2">
      <c r="B87" s="44" t="s">
        <v>2288</v>
      </c>
      <c r="C87" s="50" t="s">
        <v>2289</v>
      </c>
      <c r="D87" s="44" t="s">
        <v>2288</v>
      </c>
      <c r="E87" s="51">
        <v>8000</v>
      </c>
    </row>
    <row r="88" spans="2:5" hidden="1" x14ac:dyDescent="0.2">
      <c r="B88" s="44" t="s">
        <v>2290</v>
      </c>
      <c r="C88" s="50" t="s">
        <v>2291</v>
      </c>
      <c r="D88" s="44" t="s">
        <v>2290</v>
      </c>
      <c r="E88" s="51">
        <v>200</v>
      </c>
    </row>
    <row r="89" spans="2:5" hidden="1" x14ac:dyDescent="0.2">
      <c r="B89" s="44" t="s">
        <v>2292</v>
      </c>
      <c r="C89" s="50" t="s">
        <v>2293</v>
      </c>
      <c r="D89" s="44" t="s">
        <v>2292</v>
      </c>
      <c r="E89" s="51">
        <v>220</v>
      </c>
    </row>
    <row r="90" spans="2:5" hidden="1" x14ac:dyDescent="0.2">
      <c r="B90" s="44" t="s">
        <v>2294</v>
      </c>
      <c r="C90" s="50" t="s">
        <v>2295</v>
      </c>
      <c r="D90" s="44" t="s">
        <v>2294</v>
      </c>
      <c r="E90" s="51">
        <v>240</v>
      </c>
    </row>
    <row r="91" spans="2:5" hidden="1" x14ac:dyDescent="0.2">
      <c r="B91" s="44" t="s">
        <v>2296</v>
      </c>
      <c r="C91" s="50" t="s">
        <v>2297</v>
      </c>
      <c r="D91" s="44" t="s">
        <v>2296</v>
      </c>
      <c r="E91" s="51">
        <v>260</v>
      </c>
    </row>
    <row r="92" spans="2:5" hidden="1" x14ac:dyDescent="0.2">
      <c r="B92" s="44" t="s">
        <v>2298</v>
      </c>
      <c r="C92" s="50" t="s">
        <v>2299</v>
      </c>
      <c r="D92" s="44" t="s">
        <v>2298</v>
      </c>
      <c r="E92" s="51">
        <v>516.38</v>
      </c>
    </row>
    <row r="93" spans="2:5" hidden="1" x14ac:dyDescent="0.2">
      <c r="B93" s="44" t="s">
        <v>2300</v>
      </c>
      <c r="C93" s="50" t="s">
        <v>2301</v>
      </c>
      <c r="D93" s="44" t="s">
        <v>2300</v>
      </c>
      <c r="E93" s="51">
        <v>577.13</v>
      </c>
    </row>
    <row r="94" spans="2:5" hidden="1" x14ac:dyDescent="0.2">
      <c r="B94" s="44" t="s">
        <v>2302</v>
      </c>
      <c r="C94" s="50" t="s">
        <v>2303</v>
      </c>
      <c r="D94" s="44" t="s">
        <v>2302</v>
      </c>
      <c r="E94" s="51">
        <v>589.28</v>
      </c>
    </row>
    <row r="95" spans="2:5" hidden="1" x14ac:dyDescent="0.2">
      <c r="B95" s="44" t="s">
        <v>2304</v>
      </c>
      <c r="C95" s="50" t="s">
        <v>2305</v>
      </c>
      <c r="D95" s="44" t="s">
        <v>2304</v>
      </c>
      <c r="E95" s="51">
        <v>668.25</v>
      </c>
    </row>
    <row r="96" spans="2:5" hidden="1" x14ac:dyDescent="0.2">
      <c r="B96" s="44" t="s">
        <v>2306</v>
      </c>
      <c r="C96" s="50" t="s">
        <v>2307</v>
      </c>
      <c r="D96" s="44" t="s">
        <v>2306</v>
      </c>
      <c r="E96" s="51">
        <v>455.63</v>
      </c>
    </row>
    <row r="97" spans="2:5" hidden="1" x14ac:dyDescent="0.2">
      <c r="B97" s="44" t="s">
        <v>2308</v>
      </c>
      <c r="C97" s="50" t="s">
        <v>2309</v>
      </c>
      <c r="D97" s="44" t="s">
        <v>2308</v>
      </c>
      <c r="E97" s="51">
        <v>516.38</v>
      </c>
    </row>
    <row r="98" spans="2:5" hidden="1" x14ac:dyDescent="0.2">
      <c r="B98" s="44" t="s">
        <v>2310</v>
      </c>
      <c r="C98" s="50" t="s">
        <v>2311</v>
      </c>
      <c r="D98" s="44" t="s">
        <v>2310</v>
      </c>
      <c r="E98" s="51">
        <v>528.53</v>
      </c>
    </row>
    <row r="99" spans="2:5" hidden="1" x14ac:dyDescent="0.2">
      <c r="B99" s="44" t="s">
        <v>2312</v>
      </c>
      <c r="C99" s="50" t="s">
        <v>2313</v>
      </c>
      <c r="D99" s="44" t="s">
        <v>2312</v>
      </c>
      <c r="E99" s="51">
        <v>619.65</v>
      </c>
    </row>
    <row r="100" spans="2:5" hidden="1" x14ac:dyDescent="0.2">
      <c r="B100" s="44" t="s">
        <v>2314</v>
      </c>
      <c r="C100" s="50" t="s">
        <v>2315</v>
      </c>
      <c r="D100" s="44" t="s">
        <v>2314</v>
      </c>
      <c r="E100" s="51">
        <v>431.33</v>
      </c>
    </row>
    <row r="101" spans="2:5" hidden="1" x14ac:dyDescent="0.2">
      <c r="B101" s="44" t="s">
        <v>2316</v>
      </c>
      <c r="C101" s="50" t="s">
        <v>2317</v>
      </c>
      <c r="D101" s="44" t="s">
        <v>2316</v>
      </c>
      <c r="E101" s="51">
        <v>492.08</v>
      </c>
    </row>
    <row r="102" spans="2:5" hidden="1" x14ac:dyDescent="0.2">
      <c r="B102" s="44" t="s">
        <v>2318</v>
      </c>
      <c r="C102" s="50" t="s">
        <v>2319</v>
      </c>
      <c r="D102" s="44" t="s">
        <v>2318</v>
      </c>
      <c r="E102" s="51">
        <v>504.23</v>
      </c>
    </row>
    <row r="103" spans="2:5" hidden="1" x14ac:dyDescent="0.2">
      <c r="B103" s="44" t="s">
        <v>2320</v>
      </c>
      <c r="C103" s="50" t="s">
        <v>2319</v>
      </c>
      <c r="D103" s="44" t="s">
        <v>2320</v>
      </c>
      <c r="E103" s="51">
        <v>595.35</v>
      </c>
    </row>
    <row r="104" spans="2:5" hidden="1" x14ac:dyDescent="0.2">
      <c r="B104" s="44" t="s">
        <v>2321</v>
      </c>
      <c r="C104" s="50" t="s">
        <v>2322</v>
      </c>
      <c r="D104" s="44" t="s">
        <v>2321</v>
      </c>
      <c r="E104" s="51">
        <v>419.18</v>
      </c>
    </row>
    <row r="105" spans="2:5" hidden="1" x14ac:dyDescent="0.2">
      <c r="B105" s="44" t="s">
        <v>2323</v>
      </c>
      <c r="C105" s="50" t="s">
        <v>2324</v>
      </c>
      <c r="D105" s="44" t="s">
        <v>2323</v>
      </c>
      <c r="E105" s="51">
        <v>467.78</v>
      </c>
    </row>
    <row r="106" spans="2:5" hidden="1" x14ac:dyDescent="0.2">
      <c r="B106" s="44" t="s">
        <v>2325</v>
      </c>
      <c r="C106" s="50" t="s">
        <v>2326</v>
      </c>
      <c r="D106" s="44" t="s">
        <v>2325</v>
      </c>
      <c r="E106" s="51">
        <v>492.08</v>
      </c>
    </row>
    <row r="107" spans="2:5" hidden="1" x14ac:dyDescent="0.2">
      <c r="B107" s="44" t="s">
        <v>2327</v>
      </c>
      <c r="C107" s="50" t="s">
        <v>2328</v>
      </c>
      <c r="D107" s="44" t="s">
        <v>2327</v>
      </c>
      <c r="E107" s="51">
        <v>564.98</v>
      </c>
    </row>
    <row r="108" spans="2:5" hidden="1" x14ac:dyDescent="0.2">
      <c r="B108" s="44" t="s">
        <v>2329</v>
      </c>
      <c r="C108" s="50" t="s">
        <v>2330</v>
      </c>
      <c r="D108" s="44" t="s">
        <v>2329</v>
      </c>
      <c r="E108" s="51">
        <v>425</v>
      </c>
    </row>
    <row r="109" spans="2:5" hidden="1" x14ac:dyDescent="0.2">
      <c r="B109" s="44" t="s">
        <v>2331</v>
      </c>
      <c r="C109" s="50" t="s">
        <v>2332</v>
      </c>
      <c r="D109" s="44" t="s">
        <v>2331</v>
      </c>
      <c r="E109" s="51">
        <v>425</v>
      </c>
    </row>
    <row r="110" spans="2:5" hidden="1" x14ac:dyDescent="0.2">
      <c r="B110" s="44" t="s">
        <v>2333</v>
      </c>
      <c r="C110" s="50" t="s">
        <v>2334</v>
      </c>
      <c r="D110" s="44" t="s">
        <v>2333</v>
      </c>
      <c r="E110" s="51">
        <v>425</v>
      </c>
    </row>
    <row r="111" spans="2:5" hidden="1" x14ac:dyDescent="0.2">
      <c r="B111" s="44" t="s">
        <v>2335</v>
      </c>
      <c r="C111" s="50" t="s">
        <v>2336</v>
      </c>
      <c r="D111" s="44" t="s">
        <v>2335</v>
      </c>
      <c r="E111" s="51">
        <v>250</v>
      </c>
    </row>
    <row r="112" spans="2:5" hidden="1" x14ac:dyDescent="0.2">
      <c r="B112" s="44" t="s">
        <v>2337</v>
      </c>
      <c r="C112" s="50" t="s">
        <v>2338</v>
      </c>
      <c r="D112" s="44" t="s">
        <v>2337</v>
      </c>
      <c r="E112" s="51">
        <v>400</v>
      </c>
    </row>
    <row r="113" spans="2:5" hidden="1" x14ac:dyDescent="0.2">
      <c r="B113" s="44" t="s">
        <v>2339</v>
      </c>
      <c r="C113" s="50" t="s">
        <v>2340</v>
      </c>
      <c r="D113" s="44" t="s">
        <v>2339</v>
      </c>
      <c r="E113" s="51">
        <v>400</v>
      </c>
    </row>
    <row r="114" spans="2:5" hidden="1" x14ac:dyDescent="0.2">
      <c r="B114" s="44" t="s">
        <v>2341</v>
      </c>
      <c r="C114" s="50" t="s">
        <v>2342</v>
      </c>
      <c r="D114" s="44" t="s">
        <v>2341</v>
      </c>
      <c r="E114" s="51">
        <v>610</v>
      </c>
    </row>
    <row r="115" spans="2:5" hidden="1" x14ac:dyDescent="0.2">
      <c r="B115" s="44" t="s">
        <v>2343</v>
      </c>
      <c r="C115" s="50" t="s">
        <v>1828</v>
      </c>
      <c r="D115" s="44" t="s">
        <v>2343</v>
      </c>
      <c r="E115" s="51">
        <v>1900</v>
      </c>
    </row>
    <row r="116" spans="2:5" hidden="1" x14ac:dyDescent="0.2">
      <c r="B116" s="44" t="s">
        <v>2344</v>
      </c>
      <c r="C116" s="50" t="s">
        <v>1826</v>
      </c>
      <c r="D116" s="44" t="s">
        <v>2344</v>
      </c>
      <c r="E116" s="51">
        <v>1300</v>
      </c>
    </row>
    <row r="117" spans="2:5" hidden="1" x14ac:dyDescent="0.2">
      <c r="B117" s="44" t="s">
        <v>2345</v>
      </c>
      <c r="C117" s="50" t="s">
        <v>1825</v>
      </c>
      <c r="D117" s="44" t="s">
        <v>2345</v>
      </c>
      <c r="E117" s="51">
        <v>1200</v>
      </c>
    </row>
    <row r="118" spans="2:5" hidden="1" x14ac:dyDescent="0.2">
      <c r="B118" s="44" t="s">
        <v>2346</v>
      </c>
      <c r="C118" s="50" t="s">
        <v>1829</v>
      </c>
      <c r="D118" s="44" t="s">
        <v>2346</v>
      </c>
      <c r="E118" s="51">
        <v>570</v>
      </c>
    </row>
    <row r="119" spans="2:5" hidden="1" x14ac:dyDescent="0.2">
      <c r="B119" s="44" t="s">
        <v>2347</v>
      </c>
      <c r="C119" s="50" t="s">
        <v>1824</v>
      </c>
      <c r="D119" s="44" t="s">
        <v>2347</v>
      </c>
      <c r="E119" s="51">
        <v>500</v>
      </c>
    </row>
    <row r="120" spans="2:5" hidden="1" x14ac:dyDescent="0.2">
      <c r="B120" s="44" t="s">
        <v>2348</v>
      </c>
      <c r="C120" s="50" t="s">
        <v>1822</v>
      </c>
      <c r="D120" s="44" t="s">
        <v>2348</v>
      </c>
      <c r="E120" s="51">
        <v>645</v>
      </c>
    </row>
    <row r="121" spans="2:5" hidden="1" x14ac:dyDescent="0.2">
      <c r="B121" s="44" t="s">
        <v>2438</v>
      </c>
      <c r="C121" s="50" t="s">
        <v>2439</v>
      </c>
      <c r="D121" s="44" t="s">
        <v>2438</v>
      </c>
      <c r="E121" s="51">
        <v>1100</v>
      </c>
    </row>
    <row r="122" spans="2:5" hidden="1" x14ac:dyDescent="0.2">
      <c r="B122" s="44" t="s">
        <v>2349</v>
      </c>
      <c r="C122" s="50" t="s">
        <v>1813</v>
      </c>
      <c r="D122" s="44" t="s">
        <v>2349</v>
      </c>
      <c r="E122" s="51">
        <v>900</v>
      </c>
    </row>
    <row r="123" spans="2:5" hidden="1" x14ac:dyDescent="0.2">
      <c r="B123" s="44" t="s">
        <v>2350</v>
      </c>
      <c r="C123" s="50" t="s">
        <v>1853</v>
      </c>
      <c r="D123" s="44" t="s">
        <v>2350</v>
      </c>
      <c r="E123" s="51">
        <v>375</v>
      </c>
    </row>
    <row r="124" spans="2:5" hidden="1" x14ac:dyDescent="0.2">
      <c r="B124" s="44" t="s">
        <v>2351</v>
      </c>
      <c r="C124" s="50" t="s">
        <v>1854</v>
      </c>
      <c r="D124" s="44" t="s">
        <v>2351</v>
      </c>
      <c r="E124" s="51">
        <v>410</v>
      </c>
    </row>
    <row r="125" spans="2:5" hidden="1" x14ac:dyDescent="0.2">
      <c r="B125" s="44" t="s">
        <v>2352</v>
      </c>
      <c r="C125" s="50" t="s">
        <v>2353</v>
      </c>
      <c r="D125" s="44" t="s">
        <v>2352</v>
      </c>
      <c r="E125" s="51">
        <v>170</v>
      </c>
    </row>
    <row r="126" spans="2:5" hidden="1" x14ac:dyDescent="0.2">
      <c r="B126" s="44" t="s">
        <v>2354</v>
      </c>
      <c r="C126" s="50" t="s">
        <v>2355</v>
      </c>
      <c r="D126" s="44" t="s">
        <v>2354</v>
      </c>
      <c r="E126" s="51">
        <v>75</v>
      </c>
    </row>
    <row r="127" spans="2:5" hidden="1" x14ac:dyDescent="0.2">
      <c r="B127" s="44" t="s">
        <v>2356</v>
      </c>
      <c r="C127" s="50" t="s">
        <v>2357</v>
      </c>
      <c r="D127" s="44" t="s">
        <v>2356</v>
      </c>
      <c r="E127" s="51">
        <v>780</v>
      </c>
    </row>
    <row r="128" spans="2:5" hidden="1" x14ac:dyDescent="0.2">
      <c r="B128" s="44" t="s">
        <v>2358</v>
      </c>
      <c r="C128" s="50" t="s">
        <v>2359</v>
      </c>
      <c r="D128" s="44" t="s">
        <v>2358</v>
      </c>
      <c r="E128" s="51">
        <v>1375</v>
      </c>
    </row>
    <row r="129" spans="2:5" hidden="1" x14ac:dyDescent="0.2">
      <c r="B129" s="44" t="s">
        <v>2360</v>
      </c>
      <c r="C129" s="50" t="s">
        <v>2361</v>
      </c>
      <c r="D129" s="44" t="s">
        <v>2360</v>
      </c>
      <c r="E129" s="51">
        <v>2550</v>
      </c>
    </row>
    <row r="130" spans="2:5" hidden="1" x14ac:dyDescent="0.2">
      <c r="B130" s="44" t="s">
        <v>2362</v>
      </c>
      <c r="C130" s="50" t="s">
        <v>2363</v>
      </c>
      <c r="D130" s="44" t="s">
        <v>2362</v>
      </c>
      <c r="E130" s="51">
        <v>365</v>
      </c>
    </row>
    <row r="131" spans="2:5" hidden="1" x14ac:dyDescent="0.2">
      <c r="B131" s="44" t="s">
        <v>2364</v>
      </c>
      <c r="C131" s="50" t="s">
        <v>2365</v>
      </c>
      <c r="D131" s="44" t="s">
        <v>2364</v>
      </c>
      <c r="E131" s="51">
        <v>729</v>
      </c>
    </row>
    <row r="132" spans="2:5" hidden="1" x14ac:dyDescent="0.2">
      <c r="B132" s="44" t="s">
        <v>2366</v>
      </c>
      <c r="C132" s="50" t="s">
        <v>2367</v>
      </c>
      <c r="D132" s="44" t="s">
        <v>2366</v>
      </c>
      <c r="E132" s="51">
        <v>1825</v>
      </c>
    </row>
    <row r="133" spans="2:5" hidden="1" x14ac:dyDescent="0.2">
      <c r="B133" s="44" t="s">
        <v>2368</v>
      </c>
      <c r="C133" s="50" t="s">
        <v>2369</v>
      </c>
      <c r="D133" s="44" t="s">
        <v>2368</v>
      </c>
      <c r="E133" s="51">
        <v>300</v>
      </c>
    </row>
    <row r="134" spans="2:5" hidden="1" x14ac:dyDescent="0.2">
      <c r="B134" s="44" t="s">
        <v>2370</v>
      </c>
      <c r="C134" s="50" t="s">
        <v>2371</v>
      </c>
      <c r="D134" s="44" t="s">
        <v>2370</v>
      </c>
      <c r="E134" s="51">
        <v>660</v>
      </c>
    </row>
    <row r="135" spans="2:5" hidden="1" x14ac:dyDescent="0.2">
      <c r="B135" s="44" t="s">
        <v>2372</v>
      </c>
      <c r="C135" s="50" t="s">
        <v>1859</v>
      </c>
      <c r="D135" s="44" t="s">
        <v>2372</v>
      </c>
      <c r="E135" s="51">
        <v>660</v>
      </c>
    </row>
    <row r="136" spans="2:5" hidden="1" x14ac:dyDescent="0.2">
      <c r="B136" s="44" t="s">
        <v>2373</v>
      </c>
      <c r="C136" s="50" t="s">
        <v>2374</v>
      </c>
      <c r="D136" s="44" t="s">
        <v>2373</v>
      </c>
      <c r="E136" s="51">
        <v>1230</v>
      </c>
    </row>
    <row r="137" spans="2:5" hidden="1" x14ac:dyDescent="0.2">
      <c r="B137" s="44" t="s">
        <v>2375</v>
      </c>
      <c r="C137" s="50" t="s">
        <v>2376</v>
      </c>
      <c r="D137" s="44" t="s">
        <v>2375</v>
      </c>
      <c r="E137" s="51">
        <v>1300</v>
      </c>
    </row>
    <row r="138" spans="2:5" hidden="1" x14ac:dyDescent="0.2">
      <c r="B138" s="44" t="s">
        <v>2377</v>
      </c>
      <c r="C138" s="50" t="s">
        <v>2378</v>
      </c>
      <c r="D138" s="44" t="s">
        <v>2377</v>
      </c>
      <c r="E138" s="51">
        <v>1450</v>
      </c>
    </row>
    <row r="139" spans="2:5" hidden="1" x14ac:dyDescent="0.2">
      <c r="B139" s="44" t="s">
        <v>2379</v>
      </c>
      <c r="C139" s="50" t="s">
        <v>2380</v>
      </c>
      <c r="D139" s="44" t="s">
        <v>2379</v>
      </c>
      <c r="E139" s="51">
        <v>600</v>
      </c>
    </row>
    <row r="140" spans="2:5" hidden="1" x14ac:dyDescent="0.2">
      <c r="B140" s="44" t="s">
        <v>2381</v>
      </c>
      <c r="C140" s="50" t="s">
        <v>2382</v>
      </c>
      <c r="D140" s="44" t="s">
        <v>2381</v>
      </c>
      <c r="E140" s="51">
        <v>600</v>
      </c>
    </row>
    <row r="141" spans="2:5" hidden="1" x14ac:dyDescent="0.2">
      <c r="B141" s="44" t="s">
        <v>2383</v>
      </c>
      <c r="C141" s="50" t="s">
        <v>2384</v>
      </c>
      <c r="D141" s="44" t="s">
        <v>2383</v>
      </c>
      <c r="E141" s="51">
        <v>750</v>
      </c>
    </row>
    <row r="142" spans="2:5" hidden="1" x14ac:dyDescent="0.2">
      <c r="B142" s="44" t="s">
        <v>2385</v>
      </c>
      <c r="C142" s="50" t="s">
        <v>2386</v>
      </c>
      <c r="D142" s="44" t="s">
        <v>2385</v>
      </c>
      <c r="E142" s="51">
        <v>800</v>
      </c>
    </row>
    <row r="143" spans="2:5" hidden="1" x14ac:dyDescent="0.2">
      <c r="B143" s="44" t="s">
        <v>2387</v>
      </c>
      <c r="C143" s="50" t="s">
        <v>2388</v>
      </c>
      <c r="D143" s="44" t="s">
        <v>2387</v>
      </c>
      <c r="E143" s="51">
        <v>460</v>
      </c>
    </row>
    <row r="144" spans="2:5" hidden="1" x14ac:dyDescent="0.2">
      <c r="B144" s="44" t="s">
        <v>2389</v>
      </c>
      <c r="C144" s="50" t="s">
        <v>2390</v>
      </c>
      <c r="D144" s="44" t="s">
        <v>2389</v>
      </c>
      <c r="E144" s="51">
        <v>460</v>
      </c>
    </row>
    <row r="145" spans="2:5" hidden="1" x14ac:dyDescent="0.2">
      <c r="B145" s="44" t="s">
        <v>2391</v>
      </c>
      <c r="C145" s="50" t="s">
        <v>2392</v>
      </c>
      <c r="D145" s="44" t="s">
        <v>2391</v>
      </c>
      <c r="E145" s="51">
        <v>600</v>
      </c>
    </row>
    <row r="146" spans="2:5" hidden="1" x14ac:dyDescent="0.2">
      <c r="B146" s="44" t="s">
        <v>2393</v>
      </c>
      <c r="C146" s="50" t="s">
        <v>2394</v>
      </c>
      <c r="D146" s="44" t="s">
        <v>2393</v>
      </c>
      <c r="E146" s="51">
        <v>850</v>
      </c>
    </row>
    <row r="147" spans="2:5" hidden="1" x14ac:dyDescent="0.2">
      <c r="B147" s="44" t="s">
        <v>2395</v>
      </c>
      <c r="C147" s="50" t="s">
        <v>2396</v>
      </c>
      <c r="D147" s="44" t="s">
        <v>2395</v>
      </c>
      <c r="E147" s="51">
        <v>380</v>
      </c>
    </row>
    <row r="148" spans="2:5" hidden="1" x14ac:dyDescent="0.2">
      <c r="B148" s="44" t="s">
        <v>2397</v>
      </c>
      <c r="C148" s="50" t="s">
        <v>2398</v>
      </c>
      <c r="D148" s="44" t="s">
        <v>2397</v>
      </c>
      <c r="E148" s="51">
        <v>450</v>
      </c>
    </row>
    <row r="149" spans="2:5" hidden="1" x14ac:dyDescent="0.2">
      <c r="B149" s="44" t="s">
        <v>2399</v>
      </c>
      <c r="C149" s="50" t="s">
        <v>2400</v>
      </c>
      <c r="D149" s="44" t="s">
        <v>2399</v>
      </c>
      <c r="E149" s="51">
        <v>220</v>
      </c>
    </row>
    <row r="150" spans="2:5" hidden="1" x14ac:dyDescent="0.2">
      <c r="B150" s="44" t="s">
        <v>2401</v>
      </c>
      <c r="C150" s="50" t="s">
        <v>2402</v>
      </c>
      <c r="D150" s="44" t="s">
        <v>2401</v>
      </c>
      <c r="E150" s="51">
        <v>425</v>
      </c>
    </row>
    <row r="151" spans="2:5" hidden="1" x14ac:dyDescent="0.2">
      <c r="B151" s="44" t="s">
        <v>2403</v>
      </c>
      <c r="C151" s="50" t="s">
        <v>2404</v>
      </c>
      <c r="D151" s="44" t="s">
        <v>2403</v>
      </c>
      <c r="E151" s="51">
        <v>525</v>
      </c>
    </row>
    <row r="152" spans="2:5" hidden="1" x14ac:dyDescent="0.2">
      <c r="B152" s="44" t="s">
        <v>2405</v>
      </c>
      <c r="C152" s="50" t="s">
        <v>1823</v>
      </c>
      <c r="D152" s="44" t="s">
        <v>2405</v>
      </c>
      <c r="E152" s="51">
        <v>512</v>
      </c>
    </row>
    <row r="153" spans="2:5" hidden="1" x14ac:dyDescent="0.2">
      <c r="B153" s="44" t="s">
        <v>2406</v>
      </c>
      <c r="C153" s="50" t="s">
        <v>2407</v>
      </c>
      <c r="D153" s="44" t="s">
        <v>2406</v>
      </c>
      <c r="E153" s="51">
        <v>350</v>
      </c>
    </row>
    <row r="154" spans="2:5" hidden="1" x14ac:dyDescent="0.2">
      <c r="B154" s="44" t="s">
        <v>2408</v>
      </c>
      <c r="C154" s="50" t="s">
        <v>2409</v>
      </c>
      <c r="D154" s="44" t="s">
        <v>2408</v>
      </c>
      <c r="E154" s="51">
        <v>125</v>
      </c>
    </row>
    <row r="155" spans="2:5" hidden="1" x14ac:dyDescent="0.2">
      <c r="B155" s="44" t="s">
        <v>2410</v>
      </c>
      <c r="C155" s="50" t="s">
        <v>2411</v>
      </c>
      <c r="D155" s="44" t="s">
        <v>2410</v>
      </c>
      <c r="E155" s="51">
        <v>300</v>
      </c>
    </row>
    <row r="156" spans="2:5" hidden="1" x14ac:dyDescent="0.2">
      <c r="B156" s="44" t="s">
        <v>2412</v>
      </c>
      <c r="C156" s="50" t="s">
        <v>2413</v>
      </c>
      <c r="D156" s="44" t="s">
        <v>2412</v>
      </c>
      <c r="E156" s="51">
        <v>300</v>
      </c>
    </row>
    <row r="157" spans="2:5" hidden="1" x14ac:dyDescent="0.2">
      <c r="B157" s="44" t="s">
        <v>2414</v>
      </c>
      <c r="C157" s="50" t="s">
        <v>2415</v>
      </c>
      <c r="D157" s="44" t="s">
        <v>2414</v>
      </c>
      <c r="E157" s="51">
        <v>300</v>
      </c>
    </row>
    <row r="158" spans="2:5" hidden="1" x14ac:dyDescent="0.2">
      <c r="B158" s="44" t="s">
        <v>2416</v>
      </c>
      <c r="C158" s="50" t="s">
        <v>2417</v>
      </c>
      <c r="D158" s="44" t="s">
        <v>2416</v>
      </c>
      <c r="E158" s="51">
        <v>365</v>
      </c>
    </row>
    <row r="159" spans="2:5" hidden="1" x14ac:dyDescent="0.2">
      <c r="B159" s="44" t="s">
        <v>2418</v>
      </c>
      <c r="C159" s="50" t="s">
        <v>2419</v>
      </c>
      <c r="D159" s="44" t="s">
        <v>2418</v>
      </c>
      <c r="E159" s="51">
        <v>550</v>
      </c>
    </row>
    <row r="160" spans="2:5" hidden="1" x14ac:dyDescent="0.2">
      <c r="B160" s="44" t="s">
        <v>2420</v>
      </c>
      <c r="C160" s="50" t="s">
        <v>2421</v>
      </c>
      <c r="D160" s="44" t="s">
        <v>2420</v>
      </c>
      <c r="E160" s="51">
        <v>38</v>
      </c>
    </row>
    <row r="161" spans="2:5" hidden="1" x14ac:dyDescent="0.2">
      <c r="B161" s="44" t="s">
        <v>2422</v>
      </c>
      <c r="C161" s="50" t="s">
        <v>1847</v>
      </c>
      <c r="D161" s="44" t="s">
        <v>2422</v>
      </c>
      <c r="E161" s="51">
        <v>28</v>
      </c>
    </row>
    <row r="162" spans="2:5" hidden="1" x14ac:dyDescent="0.2">
      <c r="B162" s="44" t="s">
        <v>2423</v>
      </c>
      <c r="C162" s="50" t="s">
        <v>1849</v>
      </c>
      <c r="D162" s="44" t="s">
        <v>2423</v>
      </c>
      <c r="E162" s="51">
        <v>22</v>
      </c>
    </row>
    <row r="163" spans="2:5" hidden="1" x14ac:dyDescent="0.2">
      <c r="B163" s="44" t="s">
        <v>2424</v>
      </c>
      <c r="C163" s="50" t="s">
        <v>1844</v>
      </c>
      <c r="D163" s="44" t="s">
        <v>2424</v>
      </c>
      <c r="E163" s="51">
        <v>20.5</v>
      </c>
    </row>
    <row r="164" spans="2:5" hidden="1" x14ac:dyDescent="0.2">
      <c r="B164" s="44" t="s">
        <v>2425</v>
      </c>
      <c r="C164" s="50" t="s">
        <v>1852</v>
      </c>
      <c r="D164" s="44" t="s">
        <v>2425</v>
      </c>
      <c r="E164" s="51">
        <v>22</v>
      </c>
    </row>
    <row r="165" spans="2:5" hidden="1" x14ac:dyDescent="0.2">
      <c r="B165" s="44" t="s">
        <v>2426</v>
      </c>
      <c r="C165" s="50" t="s">
        <v>1841</v>
      </c>
      <c r="D165" s="44" t="s">
        <v>2426</v>
      </c>
      <c r="E165" s="51">
        <v>21</v>
      </c>
    </row>
    <row r="166" spans="2:5" hidden="1" x14ac:dyDescent="0.2">
      <c r="B166" s="44" t="s">
        <v>2427</v>
      </c>
      <c r="C166" s="50" t="s">
        <v>1850</v>
      </c>
      <c r="D166" s="44" t="s">
        <v>2427</v>
      </c>
      <c r="E166" s="51">
        <v>29</v>
      </c>
    </row>
    <row r="167" spans="2:5" hidden="1" x14ac:dyDescent="0.2">
      <c r="B167" s="44" t="s">
        <v>2428</v>
      </c>
      <c r="C167" s="50" t="s">
        <v>1848</v>
      </c>
      <c r="D167" s="44" t="s">
        <v>2428</v>
      </c>
      <c r="E167" s="51">
        <v>28</v>
      </c>
    </row>
    <row r="168" spans="2:5" hidden="1" x14ac:dyDescent="0.2">
      <c r="B168" s="44" t="s">
        <v>2429</v>
      </c>
      <c r="C168" s="50" t="s">
        <v>1851</v>
      </c>
      <c r="D168" s="44" t="s">
        <v>2429</v>
      </c>
      <c r="E168" s="51">
        <v>28</v>
      </c>
    </row>
    <row r="169" spans="2:5" x14ac:dyDescent="0.2">
      <c r="B169" s="44" t="s">
        <v>2430</v>
      </c>
      <c r="C169" s="50" t="s">
        <v>1843</v>
      </c>
      <c r="D169" s="44" t="s">
        <v>2430</v>
      </c>
      <c r="E169" s="51">
        <v>40</v>
      </c>
    </row>
    <row r="170" spans="2:5" hidden="1" x14ac:dyDescent="0.2">
      <c r="B170" s="44" t="s">
        <v>2431</v>
      </c>
      <c r="C170" s="50" t="s">
        <v>1846</v>
      </c>
      <c r="D170" s="44" t="s">
        <v>2431</v>
      </c>
      <c r="E170" s="51">
        <v>22</v>
      </c>
    </row>
    <row r="171" spans="2:5" hidden="1" x14ac:dyDescent="0.2">
      <c r="B171" s="44" t="s">
        <v>2432</v>
      </c>
      <c r="C171" s="50" t="s">
        <v>1845</v>
      </c>
      <c r="D171" s="44" t="s">
        <v>2432</v>
      </c>
      <c r="E171" s="51">
        <v>22</v>
      </c>
    </row>
    <row r="172" spans="2:5" hidden="1" x14ac:dyDescent="0.2">
      <c r="B172" s="44" t="s">
        <v>2433</v>
      </c>
      <c r="C172" s="50" t="s">
        <v>1842</v>
      </c>
      <c r="D172" s="44" t="s">
        <v>2433</v>
      </c>
      <c r="E172" s="51">
        <v>16</v>
      </c>
    </row>
    <row r="173" spans="2:5" hidden="1" x14ac:dyDescent="0.2">
      <c r="B173" s="44" t="s">
        <v>2434</v>
      </c>
      <c r="C173" s="50" t="s">
        <v>2435</v>
      </c>
      <c r="D173" s="44" t="s">
        <v>2434</v>
      </c>
      <c r="E173" s="51">
        <v>25</v>
      </c>
    </row>
  </sheetData>
  <autoFilter ref="B1:E173" xr:uid="{00000000-0001-0000-0300-000000000000}">
    <filterColumn colId="1">
      <filters>
        <filter val="DIRECCION FACULTATIVA PROJECT OBRA NUEVA"/>
        <filter val="DIRECCION FACULTATIVA. COMPLEJO"/>
        <filter val="DIRECCION FACULTATIVA. MEDIO"/>
        <filter val="DIRECCION FACULTATIVA. SENCILLO"/>
        <filter val="SERVICIO DIRECCION DE PROYECTO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85"/>
  <sheetViews>
    <sheetView workbookViewId="0">
      <selection activeCell="B16" sqref="B16"/>
    </sheetView>
  </sheetViews>
  <sheetFormatPr baseColWidth="10" defaultRowHeight="12.75" x14ac:dyDescent="0.2"/>
  <cols>
    <col min="1" max="1" width="16.33203125" style="61" bestFit="1" customWidth="1"/>
    <col min="2" max="2" width="45.83203125" style="61" bestFit="1" customWidth="1"/>
    <col min="3" max="3" width="45.83203125" style="61" customWidth="1"/>
    <col min="4" max="4" width="10.33203125" style="62" customWidth="1"/>
    <col min="5" max="5" width="24.6640625" style="61" customWidth="1"/>
    <col min="6" max="6" width="19.5" style="61" bestFit="1" customWidth="1"/>
    <col min="7" max="16384" width="12" style="40"/>
  </cols>
  <sheetData>
    <row r="1" spans="1:6" ht="12" x14ac:dyDescent="0.2">
      <c r="A1" s="57" t="s">
        <v>76</v>
      </c>
      <c r="B1" s="57" t="s">
        <v>77</v>
      </c>
      <c r="C1" s="57" t="s">
        <v>78</v>
      </c>
      <c r="D1" s="58" t="s">
        <v>1860</v>
      </c>
      <c r="E1" s="57" t="s">
        <v>1861</v>
      </c>
      <c r="F1" s="57" t="s">
        <v>79</v>
      </c>
    </row>
    <row r="2" spans="1:6" ht="12" x14ac:dyDescent="0.2">
      <c r="A2" s="65">
        <v>71</v>
      </c>
      <c r="B2" s="52" t="s">
        <v>494</v>
      </c>
      <c r="C2" s="52" t="s">
        <v>495</v>
      </c>
      <c r="D2" s="53" t="s">
        <v>2440</v>
      </c>
      <c r="E2" s="52" t="s">
        <v>494</v>
      </c>
      <c r="F2" s="52" t="s">
        <v>48</v>
      </c>
    </row>
    <row r="3" spans="1:6" ht="12" x14ac:dyDescent="0.2">
      <c r="A3" s="65">
        <v>202</v>
      </c>
      <c r="B3" s="52" t="s">
        <v>1220</v>
      </c>
      <c r="C3" s="52" t="s">
        <v>2441</v>
      </c>
      <c r="D3" s="53" t="s">
        <v>2442</v>
      </c>
      <c r="E3" s="54" t="s">
        <v>1220</v>
      </c>
      <c r="F3" s="54" t="s">
        <v>207</v>
      </c>
    </row>
    <row r="4" spans="1:6" ht="12" x14ac:dyDescent="0.2">
      <c r="A4" s="65">
        <v>262</v>
      </c>
      <c r="B4" s="52" t="s">
        <v>496</v>
      </c>
      <c r="C4" s="52" t="s">
        <v>2443</v>
      </c>
      <c r="D4" s="53" t="s">
        <v>2444</v>
      </c>
      <c r="E4" s="54" t="s">
        <v>496</v>
      </c>
      <c r="F4" s="54" t="s">
        <v>211</v>
      </c>
    </row>
    <row r="5" spans="1:6" ht="12" x14ac:dyDescent="0.2">
      <c r="A5" s="65">
        <v>270</v>
      </c>
      <c r="B5" s="52" t="s">
        <v>497</v>
      </c>
      <c r="C5" s="52" t="s">
        <v>2445</v>
      </c>
      <c r="D5" s="53" t="s">
        <v>2446</v>
      </c>
      <c r="E5" s="54" t="s">
        <v>498</v>
      </c>
      <c r="F5" s="54" t="s">
        <v>211</v>
      </c>
    </row>
    <row r="6" spans="1:6" ht="12" x14ac:dyDescent="0.2">
      <c r="A6" s="65">
        <v>452</v>
      </c>
      <c r="B6" s="52" t="s">
        <v>2447</v>
      </c>
      <c r="C6" s="52" t="s">
        <v>499</v>
      </c>
      <c r="D6" s="53" t="s">
        <v>2448</v>
      </c>
      <c r="E6" s="54" t="s">
        <v>152</v>
      </c>
      <c r="F6" s="54" t="s">
        <v>152</v>
      </c>
    </row>
    <row r="7" spans="1:6" ht="12" x14ac:dyDescent="0.2">
      <c r="A7" s="65">
        <v>464</v>
      </c>
      <c r="B7" s="52" t="s">
        <v>500</v>
      </c>
      <c r="C7" s="52" t="s">
        <v>2449</v>
      </c>
      <c r="D7" s="53" t="s">
        <v>2450</v>
      </c>
      <c r="E7" s="54" t="s">
        <v>500</v>
      </c>
      <c r="F7" s="54" t="s">
        <v>145</v>
      </c>
    </row>
    <row r="8" spans="1:6" ht="12" x14ac:dyDescent="0.2">
      <c r="A8" s="65">
        <v>566</v>
      </c>
      <c r="B8" s="52" t="s">
        <v>81</v>
      </c>
      <c r="C8" s="52" t="s">
        <v>2451</v>
      </c>
      <c r="D8" s="53" t="s">
        <v>2452</v>
      </c>
      <c r="E8" s="54" t="s">
        <v>82</v>
      </c>
      <c r="F8" s="54" t="s">
        <v>82</v>
      </c>
    </row>
    <row r="9" spans="1:6" ht="12" x14ac:dyDescent="0.2">
      <c r="A9" s="65">
        <v>632</v>
      </c>
      <c r="B9" s="52" t="s">
        <v>1928</v>
      </c>
      <c r="C9" s="52" t="s">
        <v>2453</v>
      </c>
      <c r="D9" s="53" t="s">
        <v>2454</v>
      </c>
      <c r="E9" s="54" t="s">
        <v>1929</v>
      </c>
      <c r="F9" s="54" t="s">
        <v>48</v>
      </c>
    </row>
    <row r="10" spans="1:6" ht="12" x14ac:dyDescent="0.2">
      <c r="A10" s="65">
        <v>649</v>
      </c>
      <c r="B10" s="52" t="s">
        <v>185</v>
      </c>
      <c r="C10" s="52" t="s">
        <v>2455</v>
      </c>
      <c r="D10" s="53" t="s">
        <v>2456</v>
      </c>
      <c r="E10" s="54" t="s">
        <v>185</v>
      </c>
      <c r="F10" s="54" t="s">
        <v>152</v>
      </c>
    </row>
    <row r="11" spans="1:6" ht="12" x14ac:dyDescent="0.2">
      <c r="A11" s="65">
        <v>655</v>
      </c>
      <c r="B11" s="52" t="s">
        <v>83</v>
      </c>
      <c r="C11" s="52" t="s">
        <v>2457</v>
      </c>
      <c r="D11" s="53" t="s">
        <v>2458</v>
      </c>
      <c r="E11" s="54" t="s">
        <v>84</v>
      </c>
      <c r="F11" s="54" t="s">
        <v>84</v>
      </c>
    </row>
    <row r="12" spans="1:6" ht="12" x14ac:dyDescent="0.2">
      <c r="A12" s="65">
        <v>661</v>
      </c>
      <c r="B12" s="52" t="s">
        <v>991</v>
      </c>
      <c r="C12" s="52" t="s">
        <v>2459</v>
      </c>
      <c r="D12" s="53" t="s">
        <v>2460</v>
      </c>
      <c r="E12" s="54" t="s">
        <v>992</v>
      </c>
      <c r="F12" s="54" t="s">
        <v>112</v>
      </c>
    </row>
    <row r="13" spans="1:6" ht="12" x14ac:dyDescent="0.2">
      <c r="A13" s="65">
        <v>708</v>
      </c>
      <c r="B13" s="52" t="s">
        <v>501</v>
      </c>
      <c r="C13" s="52" t="s">
        <v>2461</v>
      </c>
      <c r="D13" s="53" t="s">
        <v>2462</v>
      </c>
      <c r="E13" s="54" t="s">
        <v>501</v>
      </c>
      <c r="F13" s="54" t="s">
        <v>152</v>
      </c>
    </row>
    <row r="14" spans="1:6" ht="12" x14ac:dyDescent="0.2">
      <c r="A14" s="65">
        <v>724</v>
      </c>
      <c r="B14" s="52" t="s">
        <v>502</v>
      </c>
      <c r="C14" s="52" t="s">
        <v>2463</v>
      </c>
      <c r="D14" s="53" t="s">
        <v>2464</v>
      </c>
      <c r="E14" s="54" t="s">
        <v>502</v>
      </c>
      <c r="F14" s="54" t="s">
        <v>152</v>
      </c>
    </row>
    <row r="15" spans="1:6" ht="12" x14ac:dyDescent="0.2">
      <c r="A15" s="65">
        <v>738</v>
      </c>
      <c r="B15" s="52" t="s">
        <v>503</v>
      </c>
      <c r="C15" s="52" t="s">
        <v>2465</v>
      </c>
      <c r="D15" s="53" t="s">
        <v>2466</v>
      </c>
      <c r="E15" s="54" t="s">
        <v>503</v>
      </c>
      <c r="F15" s="54" t="s">
        <v>152</v>
      </c>
    </row>
    <row r="16" spans="1:6" ht="12" x14ac:dyDescent="0.2">
      <c r="A16" s="65">
        <v>759</v>
      </c>
      <c r="B16" s="52" t="s">
        <v>504</v>
      </c>
      <c r="C16" s="52" t="s">
        <v>2467</v>
      </c>
      <c r="D16" s="53" t="s">
        <v>2468</v>
      </c>
      <c r="E16" s="54" t="s">
        <v>504</v>
      </c>
      <c r="F16" s="54" t="s">
        <v>152</v>
      </c>
    </row>
    <row r="17" spans="1:6" ht="12" x14ac:dyDescent="0.2">
      <c r="A17" s="65">
        <v>769</v>
      </c>
      <c r="B17" s="52" t="s">
        <v>993</v>
      </c>
      <c r="C17" s="52" t="s">
        <v>2469</v>
      </c>
      <c r="D17" s="53" t="s">
        <v>2470</v>
      </c>
      <c r="E17" s="54" t="s">
        <v>37</v>
      </c>
      <c r="F17" s="54" t="s">
        <v>37</v>
      </c>
    </row>
    <row r="18" spans="1:6" ht="12" x14ac:dyDescent="0.2">
      <c r="A18" s="65">
        <v>787</v>
      </c>
      <c r="B18" s="52" t="s">
        <v>1975</v>
      </c>
      <c r="C18" s="52" t="s">
        <v>2471</v>
      </c>
      <c r="D18" s="53" t="s">
        <v>2472</v>
      </c>
      <c r="E18" s="54" t="s">
        <v>152</v>
      </c>
      <c r="F18" s="54" t="s">
        <v>152</v>
      </c>
    </row>
    <row r="19" spans="1:6" ht="12" x14ac:dyDescent="0.2">
      <c r="A19" s="65">
        <v>832</v>
      </c>
      <c r="B19" s="52" t="s">
        <v>85</v>
      </c>
      <c r="C19" s="52" t="s">
        <v>2473</v>
      </c>
      <c r="D19" s="53" t="s">
        <v>2474</v>
      </c>
      <c r="E19" s="54" t="s">
        <v>82</v>
      </c>
      <c r="F19" s="54" t="s">
        <v>82</v>
      </c>
    </row>
    <row r="20" spans="1:6" ht="12" x14ac:dyDescent="0.2">
      <c r="A20" s="65">
        <v>893</v>
      </c>
      <c r="B20" s="52" t="s">
        <v>86</v>
      </c>
      <c r="C20" s="52" t="s">
        <v>2475</v>
      </c>
      <c r="D20" s="53" t="s">
        <v>2476</v>
      </c>
      <c r="E20" s="54" t="s">
        <v>86</v>
      </c>
      <c r="F20" s="54" t="s">
        <v>82</v>
      </c>
    </row>
    <row r="21" spans="1:6" ht="12" x14ac:dyDescent="0.2">
      <c r="A21" s="65">
        <v>999</v>
      </c>
      <c r="B21" s="52" t="s">
        <v>505</v>
      </c>
      <c r="C21" s="52" t="s">
        <v>2477</v>
      </c>
      <c r="D21" s="53" t="s">
        <v>2478</v>
      </c>
      <c r="E21" s="54" t="s">
        <v>505</v>
      </c>
      <c r="F21" s="54" t="s">
        <v>116</v>
      </c>
    </row>
    <row r="22" spans="1:6" ht="12" x14ac:dyDescent="0.2">
      <c r="A22" s="65">
        <v>1079</v>
      </c>
      <c r="B22" s="52" t="s">
        <v>506</v>
      </c>
      <c r="C22" s="52" t="s">
        <v>507</v>
      </c>
      <c r="D22" s="53" t="s">
        <v>2479</v>
      </c>
      <c r="E22" s="54" t="s">
        <v>506</v>
      </c>
      <c r="F22" s="54" t="s">
        <v>253</v>
      </c>
    </row>
    <row r="23" spans="1:6" ht="12" x14ac:dyDescent="0.2">
      <c r="A23" s="65">
        <v>1107</v>
      </c>
      <c r="B23" s="52" t="s">
        <v>508</v>
      </c>
      <c r="C23" s="52" t="s">
        <v>2480</v>
      </c>
      <c r="D23" s="53" t="s">
        <v>2481</v>
      </c>
      <c r="E23" s="54" t="s">
        <v>508</v>
      </c>
      <c r="F23" s="54" t="s">
        <v>253</v>
      </c>
    </row>
    <row r="24" spans="1:6" ht="12" x14ac:dyDescent="0.2">
      <c r="A24" s="65">
        <v>1136</v>
      </c>
      <c r="B24" s="52" t="s">
        <v>509</v>
      </c>
      <c r="C24" s="52" t="s">
        <v>510</v>
      </c>
      <c r="D24" s="53" t="s">
        <v>2482</v>
      </c>
      <c r="E24" s="54" t="s">
        <v>342</v>
      </c>
      <c r="F24" s="54" t="s">
        <v>342</v>
      </c>
    </row>
    <row r="25" spans="1:6" ht="12" x14ac:dyDescent="0.2">
      <c r="A25" s="65">
        <v>1236</v>
      </c>
      <c r="B25" s="52" t="s">
        <v>87</v>
      </c>
      <c r="C25" s="52" t="s">
        <v>2483</v>
      </c>
      <c r="D25" s="53" t="s">
        <v>2484</v>
      </c>
      <c r="E25" s="54" t="s">
        <v>88</v>
      </c>
      <c r="F25" s="54" t="s">
        <v>89</v>
      </c>
    </row>
    <row r="26" spans="1:6" ht="12" x14ac:dyDescent="0.2">
      <c r="A26" s="65">
        <v>1242</v>
      </c>
      <c r="B26" s="52" t="s">
        <v>1248</v>
      </c>
      <c r="C26" s="52" t="s">
        <v>1249</v>
      </c>
      <c r="D26" s="53" t="s">
        <v>2485</v>
      </c>
      <c r="E26" s="54" t="s">
        <v>84</v>
      </c>
      <c r="F26" s="54" t="s">
        <v>84</v>
      </c>
    </row>
    <row r="27" spans="1:6" ht="12" x14ac:dyDescent="0.2">
      <c r="A27" s="65">
        <v>1302</v>
      </c>
      <c r="B27" s="52" t="s">
        <v>994</v>
      </c>
      <c r="C27" s="52" t="s">
        <v>2486</v>
      </c>
      <c r="D27" s="53" t="s">
        <v>2487</v>
      </c>
      <c r="E27" s="54" t="s">
        <v>590</v>
      </c>
      <c r="F27" s="54" t="s">
        <v>152</v>
      </c>
    </row>
    <row r="28" spans="1:6" ht="12" x14ac:dyDescent="0.2">
      <c r="A28" s="65">
        <v>1310</v>
      </c>
      <c r="B28" s="52" t="s">
        <v>90</v>
      </c>
      <c r="C28" s="52" t="s">
        <v>2488</v>
      </c>
      <c r="D28" s="53" t="s">
        <v>2489</v>
      </c>
      <c r="E28" s="54" t="s">
        <v>90</v>
      </c>
      <c r="F28" s="54" t="s">
        <v>65</v>
      </c>
    </row>
    <row r="29" spans="1:6" ht="12" x14ac:dyDescent="0.2">
      <c r="A29" s="65">
        <v>1324</v>
      </c>
      <c r="B29" s="52" t="s">
        <v>91</v>
      </c>
      <c r="C29" s="52" t="s">
        <v>2490</v>
      </c>
      <c r="D29" s="53" t="s">
        <v>2491</v>
      </c>
      <c r="E29" s="54" t="s">
        <v>91</v>
      </c>
      <c r="F29" s="54" t="s">
        <v>84</v>
      </c>
    </row>
    <row r="30" spans="1:6" ht="12" x14ac:dyDescent="0.2">
      <c r="A30" s="65">
        <v>1343</v>
      </c>
      <c r="B30" s="52" t="s">
        <v>1250</v>
      </c>
      <c r="C30" s="52" t="s">
        <v>2492</v>
      </c>
      <c r="D30" s="53" t="s">
        <v>2493</v>
      </c>
      <c r="E30" s="54" t="s">
        <v>268</v>
      </c>
      <c r="F30" s="54" t="s">
        <v>84</v>
      </c>
    </row>
    <row r="31" spans="1:6" ht="12" x14ac:dyDescent="0.2">
      <c r="A31" s="65">
        <v>1356</v>
      </c>
      <c r="B31" s="52" t="s">
        <v>511</v>
      </c>
      <c r="C31" s="52" t="s">
        <v>512</v>
      </c>
      <c r="D31" s="53" t="s">
        <v>2494</v>
      </c>
      <c r="E31" s="54" t="s">
        <v>84</v>
      </c>
      <c r="F31" s="54" t="s">
        <v>84</v>
      </c>
    </row>
    <row r="32" spans="1:6" ht="12" x14ac:dyDescent="0.2">
      <c r="A32" s="65">
        <v>1371</v>
      </c>
      <c r="B32" s="52" t="s">
        <v>1930</v>
      </c>
      <c r="C32" s="52" t="s">
        <v>2495</v>
      </c>
      <c r="D32" s="53" t="s">
        <v>2496</v>
      </c>
      <c r="E32" s="54" t="s">
        <v>108</v>
      </c>
      <c r="F32" s="54" t="s">
        <v>108</v>
      </c>
    </row>
    <row r="33" spans="1:6" ht="12" x14ac:dyDescent="0.2">
      <c r="A33" s="65">
        <v>1382</v>
      </c>
      <c r="B33" s="52" t="s">
        <v>92</v>
      </c>
      <c r="C33" s="52" t="s">
        <v>2497</v>
      </c>
      <c r="D33" s="53" t="s">
        <v>2498</v>
      </c>
      <c r="E33" s="54" t="s">
        <v>84</v>
      </c>
      <c r="F33" s="54" t="s">
        <v>84</v>
      </c>
    </row>
    <row r="34" spans="1:6" ht="12" x14ac:dyDescent="0.2">
      <c r="A34" s="65">
        <v>1399</v>
      </c>
      <c r="B34" s="52" t="s">
        <v>513</v>
      </c>
      <c r="C34" s="52" t="s">
        <v>2499</v>
      </c>
      <c r="D34" s="53" t="s">
        <v>2500</v>
      </c>
      <c r="E34" s="54" t="s">
        <v>105</v>
      </c>
      <c r="F34" s="54" t="s">
        <v>84</v>
      </c>
    </row>
    <row r="35" spans="1:6" ht="12" x14ac:dyDescent="0.2">
      <c r="A35" s="65">
        <v>1453</v>
      </c>
      <c r="B35" s="52" t="s">
        <v>1251</v>
      </c>
      <c r="C35" s="52" t="s">
        <v>2501</v>
      </c>
      <c r="D35" s="53" t="s">
        <v>2502</v>
      </c>
      <c r="E35" s="54" t="s">
        <v>157</v>
      </c>
      <c r="F35" s="54" t="s">
        <v>158</v>
      </c>
    </row>
    <row r="36" spans="1:6" ht="12" x14ac:dyDescent="0.2">
      <c r="A36" s="65">
        <v>1497</v>
      </c>
      <c r="B36" s="52" t="s">
        <v>1252</v>
      </c>
      <c r="C36" s="52" t="s">
        <v>2503</v>
      </c>
      <c r="D36" s="53" t="s">
        <v>2504</v>
      </c>
      <c r="E36" s="54" t="s">
        <v>1252</v>
      </c>
      <c r="F36" s="54" t="s">
        <v>2505</v>
      </c>
    </row>
    <row r="37" spans="1:6" ht="12" x14ac:dyDescent="0.2">
      <c r="A37" s="65">
        <v>1525</v>
      </c>
      <c r="B37" s="52" t="s">
        <v>514</v>
      </c>
      <c r="C37" s="52" t="s">
        <v>515</v>
      </c>
      <c r="D37" s="53" t="s">
        <v>2506</v>
      </c>
      <c r="E37" s="54" t="s">
        <v>50</v>
      </c>
      <c r="F37" s="54" t="s">
        <v>50</v>
      </c>
    </row>
    <row r="38" spans="1:6" ht="12" x14ac:dyDescent="0.2">
      <c r="A38" s="65">
        <v>1588</v>
      </c>
      <c r="B38" s="52" t="s">
        <v>93</v>
      </c>
      <c r="C38" s="52" t="s">
        <v>2507</v>
      </c>
      <c r="D38" s="53" t="s">
        <v>2508</v>
      </c>
      <c r="E38" s="54" t="s">
        <v>89</v>
      </c>
      <c r="F38" s="54" t="s">
        <v>89</v>
      </c>
    </row>
    <row r="39" spans="1:6" ht="12" x14ac:dyDescent="0.2">
      <c r="A39" s="65">
        <v>1594</v>
      </c>
      <c r="B39" s="52" t="s">
        <v>995</v>
      </c>
      <c r="C39" s="52" t="s">
        <v>2509</v>
      </c>
      <c r="D39" s="53" t="s">
        <v>2510</v>
      </c>
      <c r="E39" s="54" t="s">
        <v>202</v>
      </c>
      <c r="F39" s="54" t="s">
        <v>135</v>
      </c>
    </row>
    <row r="40" spans="1:6" ht="12" x14ac:dyDescent="0.2">
      <c r="A40" s="65">
        <v>1657</v>
      </c>
      <c r="B40" s="52" t="s">
        <v>516</v>
      </c>
      <c r="C40" s="52" t="s">
        <v>517</v>
      </c>
      <c r="D40" s="53" t="s">
        <v>2511</v>
      </c>
      <c r="E40" s="54" t="s">
        <v>516</v>
      </c>
      <c r="F40" s="54" t="s">
        <v>378</v>
      </c>
    </row>
    <row r="41" spans="1:6" ht="12" x14ac:dyDescent="0.2">
      <c r="A41" s="65">
        <v>1753</v>
      </c>
      <c r="B41" s="52" t="s">
        <v>2512</v>
      </c>
      <c r="C41" s="52" t="s">
        <v>2513</v>
      </c>
      <c r="D41" s="53" t="s">
        <v>2514</v>
      </c>
      <c r="E41" s="54" t="s">
        <v>2512</v>
      </c>
      <c r="F41" s="54" t="s">
        <v>48</v>
      </c>
    </row>
    <row r="42" spans="1:6" ht="12" x14ac:dyDescent="0.2">
      <c r="A42" s="65">
        <v>1766</v>
      </c>
      <c r="B42" s="52" t="s">
        <v>518</v>
      </c>
      <c r="C42" s="52" t="s">
        <v>2515</v>
      </c>
      <c r="D42" s="53" t="s">
        <v>2516</v>
      </c>
      <c r="E42" s="54" t="s">
        <v>519</v>
      </c>
      <c r="F42" s="54" t="s">
        <v>378</v>
      </c>
    </row>
    <row r="43" spans="1:6" ht="12" x14ac:dyDescent="0.2">
      <c r="A43" s="65">
        <v>1837</v>
      </c>
      <c r="B43" s="52" t="s">
        <v>520</v>
      </c>
      <c r="C43" s="52" t="s">
        <v>521</v>
      </c>
      <c r="D43" s="53" t="s">
        <v>2517</v>
      </c>
      <c r="E43" s="54" t="s">
        <v>520</v>
      </c>
      <c r="F43" s="54" t="s">
        <v>145</v>
      </c>
    </row>
    <row r="44" spans="1:6" ht="12" x14ac:dyDescent="0.2">
      <c r="A44" s="65">
        <v>1909</v>
      </c>
      <c r="B44" s="52" t="s">
        <v>94</v>
      </c>
      <c r="C44" s="52" t="s">
        <v>95</v>
      </c>
      <c r="D44" s="53" t="s">
        <v>2518</v>
      </c>
      <c r="E44" s="54" t="s">
        <v>96</v>
      </c>
      <c r="F44" s="54" t="s">
        <v>97</v>
      </c>
    </row>
    <row r="45" spans="1:6" ht="12" x14ac:dyDescent="0.2">
      <c r="A45" s="65">
        <v>1988</v>
      </c>
      <c r="B45" s="52" t="s">
        <v>522</v>
      </c>
      <c r="C45" s="52" t="s">
        <v>2519</v>
      </c>
      <c r="D45" s="53" t="s">
        <v>2520</v>
      </c>
      <c r="E45" s="54" t="s">
        <v>522</v>
      </c>
      <c r="F45" s="54" t="s">
        <v>145</v>
      </c>
    </row>
    <row r="46" spans="1:6" ht="12" x14ac:dyDescent="0.2">
      <c r="A46" s="65">
        <v>2024</v>
      </c>
      <c r="B46" s="52" t="s">
        <v>523</v>
      </c>
      <c r="C46" s="52" t="s">
        <v>524</v>
      </c>
      <c r="D46" s="53" t="s">
        <v>2521</v>
      </c>
      <c r="E46" s="54" t="s">
        <v>147</v>
      </c>
      <c r="F46" s="54" t="s">
        <v>145</v>
      </c>
    </row>
    <row r="47" spans="1:6" ht="12" x14ac:dyDescent="0.2">
      <c r="A47" s="65">
        <v>2063</v>
      </c>
      <c r="B47" s="52" t="s">
        <v>525</v>
      </c>
      <c r="C47" s="52" t="s">
        <v>2522</v>
      </c>
      <c r="D47" s="53" t="s">
        <v>2523</v>
      </c>
      <c r="E47" s="54" t="s">
        <v>526</v>
      </c>
      <c r="F47" s="54" t="s">
        <v>51</v>
      </c>
    </row>
    <row r="48" spans="1:6" ht="12" x14ac:dyDescent="0.2">
      <c r="A48" s="65">
        <v>2101</v>
      </c>
      <c r="B48" s="52" t="s">
        <v>98</v>
      </c>
      <c r="C48" s="52" t="s">
        <v>2524</v>
      </c>
      <c r="D48" s="53" t="s">
        <v>2525</v>
      </c>
      <c r="E48" s="54" t="s">
        <v>98</v>
      </c>
      <c r="F48" s="54" t="s">
        <v>99</v>
      </c>
    </row>
    <row r="49" spans="1:6" ht="12" x14ac:dyDescent="0.2">
      <c r="A49" s="65">
        <v>2110</v>
      </c>
      <c r="B49" s="52" t="s">
        <v>2526</v>
      </c>
      <c r="C49" s="52" t="s">
        <v>2527</v>
      </c>
      <c r="D49" s="53" t="s">
        <v>2528</v>
      </c>
      <c r="E49" s="54" t="s">
        <v>51</v>
      </c>
      <c r="F49" s="54" t="s">
        <v>51</v>
      </c>
    </row>
    <row r="50" spans="1:6" ht="12" x14ac:dyDescent="0.2">
      <c r="A50" s="65">
        <v>2127</v>
      </c>
      <c r="B50" s="52" t="s">
        <v>527</v>
      </c>
      <c r="C50" s="52" t="s">
        <v>2529</v>
      </c>
      <c r="D50" s="53" t="s">
        <v>2530</v>
      </c>
      <c r="E50" s="54" t="s">
        <v>2531</v>
      </c>
      <c r="F50" s="54" t="s">
        <v>51</v>
      </c>
    </row>
    <row r="51" spans="1:6" ht="12" x14ac:dyDescent="0.2">
      <c r="A51" s="65">
        <v>2316</v>
      </c>
      <c r="B51" s="52" t="s">
        <v>2532</v>
      </c>
      <c r="C51" s="52" t="s">
        <v>2533</v>
      </c>
      <c r="D51" s="53" t="s">
        <v>2534</v>
      </c>
      <c r="E51" s="54" t="s">
        <v>2532</v>
      </c>
      <c r="F51" s="54" t="s">
        <v>42</v>
      </c>
    </row>
    <row r="52" spans="1:6" ht="12" x14ac:dyDescent="0.2">
      <c r="A52" s="65">
        <v>2330</v>
      </c>
      <c r="B52" s="52" t="s">
        <v>528</v>
      </c>
      <c r="C52" s="52" t="s">
        <v>2535</v>
      </c>
      <c r="D52" s="53" t="s">
        <v>2536</v>
      </c>
      <c r="E52" s="54" t="s">
        <v>179</v>
      </c>
      <c r="F52" s="54" t="s">
        <v>179</v>
      </c>
    </row>
    <row r="53" spans="1:6" ht="12" x14ac:dyDescent="0.2">
      <c r="A53" s="65">
        <v>2405</v>
      </c>
      <c r="B53" s="52" t="s">
        <v>102</v>
      </c>
      <c r="C53" s="52" t="s">
        <v>2537</v>
      </c>
      <c r="D53" s="53" t="s">
        <v>2538</v>
      </c>
      <c r="E53" s="54" t="s">
        <v>100</v>
      </c>
      <c r="F53" s="54" t="s">
        <v>101</v>
      </c>
    </row>
    <row r="54" spans="1:6" ht="12" x14ac:dyDescent="0.2">
      <c r="A54" s="65">
        <v>2441</v>
      </c>
      <c r="B54" s="52" t="s">
        <v>529</v>
      </c>
      <c r="C54" s="52" t="s">
        <v>2539</v>
      </c>
      <c r="D54" s="53" t="s">
        <v>2540</v>
      </c>
      <c r="E54" s="54" t="s">
        <v>2541</v>
      </c>
      <c r="F54" s="54" t="s">
        <v>101</v>
      </c>
    </row>
    <row r="55" spans="1:6" ht="12" x14ac:dyDescent="0.2">
      <c r="A55" s="65">
        <v>2443</v>
      </c>
      <c r="B55" s="52" t="s">
        <v>103</v>
      </c>
      <c r="C55" s="52" t="s">
        <v>104</v>
      </c>
      <c r="D55" s="53" t="s">
        <v>2542</v>
      </c>
      <c r="E55" s="54" t="s">
        <v>2543</v>
      </c>
      <c r="F55" s="54" t="s">
        <v>101</v>
      </c>
    </row>
    <row r="56" spans="1:6" ht="12" x14ac:dyDescent="0.2">
      <c r="A56" s="65">
        <v>2494</v>
      </c>
      <c r="B56" s="52" t="s">
        <v>997</v>
      </c>
      <c r="C56" s="52" t="s">
        <v>2544</v>
      </c>
      <c r="D56" s="53" t="s">
        <v>2545</v>
      </c>
      <c r="E56" s="54" t="s">
        <v>998</v>
      </c>
      <c r="F56" s="54" t="s">
        <v>174</v>
      </c>
    </row>
    <row r="57" spans="1:6" ht="12" x14ac:dyDescent="0.2">
      <c r="A57" s="65">
        <v>2539</v>
      </c>
      <c r="B57" s="52" t="s">
        <v>2546</v>
      </c>
      <c r="C57" s="52" t="s">
        <v>2547</v>
      </c>
      <c r="D57" s="53" t="s">
        <v>2548</v>
      </c>
      <c r="E57" s="54" t="s">
        <v>105</v>
      </c>
      <c r="F57" s="54" t="s">
        <v>84</v>
      </c>
    </row>
    <row r="58" spans="1:6" ht="12" x14ac:dyDescent="0.2">
      <c r="A58" s="65">
        <v>2571</v>
      </c>
      <c r="B58" s="52" t="s">
        <v>2549</v>
      </c>
      <c r="C58" s="52" t="s">
        <v>2550</v>
      </c>
      <c r="D58" s="53" t="s">
        <v>2551</v>
      </c>
      <c r="E58" s="54" t="s">
        <v>2552</v>
      </c>
      <c r="F58" s="54" t="s">
        <v>2553</v>
      </c>
    </row>
    <row r="59" spans="1:6" ht="12" x14ac:dyDescent="0.2">
      <c r="A59" s="65">
        <v>2579</v>
      </c>
      <c r="B59" s="52" t="s">
        <v>106</v>
      </c>
      <c r="C59" s="52" t="s">
        <v>2554</v>
      </c>
      <c r="D59" s="53" t="s">
        <v>2555</v>
      </c>
      <c r="E59" s="54" t="s">
        <v>107</v>
      </c>
      <c r="F59" s="54" t="s">
        <v>82</v>
      </c>
    </row>
    <row r="60" spans="1:6" ht="12" x14ac:dyDescent="0.2">
      <c r="A60" s="65">
        <v>2630</v>
      </c>
      <c r="B60" s="52" t="s">
        <v>530</v>
      </c>
      <c r="C60" s="52" t="s">
        <v>531</v>
      </c>
      <c r="D60" s="53" t="s">
        <v>2557</v>
      </c>
      <c r="E60" s="54" t="s">
        <v>530</v>
      </c>
      <c r="F60" s="54" t="s">
        <v>89</v>
      </c>
    </row>
    <row r="61" spans="1:6" ht="12" x14ac:dyDescent="0.2">
      <c r="A61" s="65">
        <v>2648</v>
      </c>
      <c r="B61" s="52" t="s">
        <v>532</v>
      </c>
      <c r="C61" s="52" t="s">
        <v>533</v>
      </c>
      <c r="D61" s="53" t="s">
        <v>2558</v>
      </c>
      <c r="E61" s="54" t="s">
        <v>89</v>
      </c>
      <c r="F61" s="54" t="s">
        <v>89</v>
      </c>
    </row>
    <row r="62" spans="1:6" ht="12" x14ac:dyDescent="0.2">
      <c r="A62" s="65">
        <v>2650</v>
      </c>
      <c r="B62" s="52" t="s">
        <v>534</v>
      </c>
      <c r="C62" s="52" t="s">
        <v>2559</v>
      </c>
      <c r="D62" s="53" t="s">
        <v>2560</v>
      </c>
      <c r="E62" s="54" t="s">
        <v>89</v>
      </c>
      <c r="F62" s="54" t="s">
        <v>89</v>
      </c>
    </row>
    <row r="63" spans="1:6" ht="12" x14ac:dyDescent="0.2">
      <c r="A63" s="65">
        <v>2659</v>
      </c>
      <c r="B63" s="52" t="s">
        <v>535</v>
      </c>
      <c r="C63" s="52" t="s">
        <v>2561</v>
      </c>
      <c r="D63" s="53" t="s">
        <v>2562</v>
      </c>
      <c r="E63" s="54" t="s">
        <v>535</v>
      </c>
      <c r="F63" s="54" t="s">
        <v>89</v>
      </c>
    </row>
    <row r="64" spans="1:6" ht="12" x14ac:dyDescent="0.2">
      <c r="A64" s="65">
        <v>2667</v>
      </c>
      <c r="B64" s="52" t="s">
        <v>536</v>
      </c>
      <c r="C64" s="52" t="s">
        <v>2563</v>
      </c>
      <c r="D64" s="53" t="s">
        <v>2564</v>
      </c>
      <c r="E64" s="54" t="s">
        <v>537</v>
      </c>
      <c r="F64" s="54" t="s">
        <v>89</v>
      </c>
    </row>
    <row r="65" spans="1:6" ht="12" x14ac:dyDescent="0.2">
      <c r="A65" s="65">
        <v>2697</v>
      </c>
      <c r="B65" s="52" t="s">
        <v>538</v>
      </c>
      <c r="C65" s="52" t="s">
        <v>539</v>
      </c>
      <c r="D65" s="53" t="s">
        <v>2565</v>
      </c>
      <c r="E65" s="54" t="s">
        <v>538</v>
      </c>
      <c r="F65" s="54" t="s">
        <v>89</v>
      </c>
    </row>
    <row r="66" spans="1:6" ht="12" x14ac:dyDescent="0.2">
      <c r="A66" s="65">
        <v>2809</v>
      </c>
      <c r="B66" s="52" t="s">
        <v>2566</v>
      </c>
      <c r="C66" s="52" t="s">
        <v>2567</v>
      </c>
      <c r="D66" s="53" t="s">
        <v>2568</v>
      </c>
      <c r="E66" s="54" t="s">
        <v>999</v>
      </c>
      <c r="F66" s="54" t="s">
        <v>112</v>
      </c>
    </row>
    <row r="67" spans="1:6" ht="12" x14ac:dyDescent="0.2">
      <c r="A67" s="65">
        <v>2809</v>
      </c>
      <c r="B67" s="52" t="s">
        <v>2566</v>
      </c>
      <c r="C67" s="52" t="s">
        <v>2567</v>
      </c>
      <c r="D67" s="53" t="s">
        <v>2568</v>
      </c>
      <c r="E67" s="54" t="s">
        <v>999</v>
      </c>
      <c r="F67" s="54" t="s">
        <v>112</v>
      </c>
    </row>
    <row r="68" spans="1:6" ht="12" x14ac:dyDescent="0.2">
      <c r="A68" s="65">
        <v>2836</v>
      </c>
      <c r="B68" s="52" t="s">
        <v>1253</v>
      </c>
      <c r="C68" s="52" t="s">
        <v>2569</v>
      </c>
      <c r="D68" s="53" t="s">
        <v>2570</v>
      </c>
      <c r="E68" s="54" t="s">
        <v>1254</v>
      </c>
      <c r="F68" s="54" t="s">
        <v>145</v>
      </c>
    </row>
    <row r="69" spans="1:6" ht="12" x14ac:dyDescent="0.2">
      <c r="A69" s="65">
        <v>2890</v>
      </c>
      <c r="B69" s="52" t="s">
        <v>1000</v>
      </c>
      <c r="C69" s="52" t="s">
        <v>2571</v>
      </c>
      <c r="D69" s="53" t="s">
        <v>2572</v>
      </c>
      <c r="E69" s="54" t="s">
        <v>1001</v>
      </c>
      <c r="F69" s="54" t="s">
        <v>2505</v>
      </c>
    </row>
    <row r="70" spans="1:6" ht="12" x14ac:dyDescent="0.2">
      <c r="A70" s="65">
        <v>3122</v>
      </c>
      <c r="B70" s="52" t="s">
        <v>1931</v>
      </c>
      <c r="C70" s="52" t="s">
        <v>2573</v>
      </c>
      <c r="D70" s="53" t="s">
        <v>2574</v>
      </c>
      <c r="E70" s="54" t="s">
        <v>116</v>
      </c>
      <c r="F70" s="54" t="s">
        <v>116</v>
      </c>
    </row>
    <row r="71" spans="1:6" ht="12" x14ac:dyDescent="0.2">
      <c r="A71" s="65">
        <v>3156</v>
      </c>
      <c r="B71" s="52" t="s">
        <v>2575</v>
      </c>
      <c r="C71" s="52" t="s">
        <v>2576</v>
      </c>
      <c r="D71" s="53" t="s">
        <v>2577</v>
      </c>
      <c r="E71" s="54" t="s">
        <v>108</v>
      </c>
      <c r="F71" s="54" t="s">
        <v>108</v>
      </c>
    </row>
    <row r="72" spans="1:6" ht="12" x14ac:dyDescent="0.2">
      <c r="A72" s="65">
        <v>3181</v>
      </c>
      <c r="B72" s="52" t="s">
        <v>1002</v>
      </c>
      <c r="C72" s="52" t="s">
        <v>2578</v>
      </c>
      <c r="D72" s="53" t="s">
        <v>2579</v>
      </c>
      <c r="E72" s="54" t="s">
        <v>2553</v>
      </c>
      <c r="F72" s="54" t="s">
        <v>2553</v>
      </c>
    </row>
    <row r="73" spans="1:6" ht="12" x14ac:dyDescent="0.2">
      <c r="A73" s="65">
        <v>3193</v>
      </c>
      <c r="B73" s="52" t="s">
        <v>1003</v>
      </c>
      <c r="C73" s="52" t="s">
        <v>2580</v>
      </c>
      <c r="D73" s="53" t="s">
        <v>2581</v>
      </c>
      <c r="E73" s="54" t="s">
        <v>168</v>
      </c>
      <c r="F73" s="54" t="s">
        <v>108</v>
      </c>
    </row>
    <row r="74" spans="1:6" ht="12" x14ac:dyDescent="0.2">
      <c r="A74" s="65">
        <v>3209</v>
      </c>
      <c r="B74" s="52" t="s">
        <v>1255</v>
      </c>
      <c r="C74" s="52" t="s">
        <v>2582</v>
      </c>
      <c r="D74" s="53" t="s">
        <v>2583</v>
      </c>
      <c r="E74" s="52" t="s">
        <v>1256</v>
      </c>
      <c r="F74" s="52" t="s">
        <v>158</v>
      </c>
    </row>
    <row r="75" spans="1:6" ht="12" x14ac:dyDescent="0.2">
      <c r="A75" s="65">
        <v>3285</v>
      </c>
      <c r="B75" s="52" t="s">
        <v>1257</v>
      </c>
      <c r="C75" s="52" t="s">
        <v>2584</v>
      </c>
      <c r="D75" s="53" t="s">
        <v>2585</v>
      </c>
      <c r="E75" s="54" t="s">
        <v>1257</v>
      </c>
      <c r="F75" s="54" t="s">
        <v>176</v>
      </c>
    </row>
    <row r="76" spans="1:6" ht="12" x14ac:dyDescent="0.2">
      <c r="A76" s="65">
        <v>3320</v>
      </c>
      <c r="B76" s="52" t="s">
        <v>540</v>
      </c>
      <c r="C76" s="52" t="s">
        <v>541</v>
      </c>
      <c r="D76" s="53" t="s">
        <v>2586</v>
      </c>
      <c r="E76" s="54" t="s">
        <v>542</v>
      </c>
      <c r="F76" s="54" t="s">
        <v>135</v>
      </c>
    </row>
    <row r="77" spans="1:6" ht="12" x14ac:dyDescent="0.2">
      <c r="A77" s="65">
        <v>3355</v>
      </c>
      <c r="B77" s="52" t="s">
        <v>1258</v>
      </c>
      <c r="C77" s="52" t="s">
        <v>1259</v>
      </c>
      <c r="D77" s="53" t="s">
        <v>2587</v>
      </c>
      <c r="E77" s="54" t="s">
        <v>778</v>
      </c>
      <c r="F77" s="54" t="s">
        <v>80</v>
      </c>
    </row>
    <row r="78" spans="1:6" ht="12" x14ac:dyDescent="0.2">
      <c r="A78" s="65">
        <v>3391</v>
      </c>
      <c r="B78" s="52" t="s">
        <v>1004</v>
      </c>
      <c r="C78" s="52" t="s">
        <v>2588</v>
      </c>
      <c r="D78" s="53" t="s">
        <v>2589</v>
      </c>
      <c r="E78" s="54" t="s">
        <v>1005</v>
      </c>
      <c r="F78" s="54" t="s">
        <v>174</v>
      </c>
    </row>
    <row r="79" spans="1:6" ht="12" x14ac:dyDescent="0.2">
      <c r="A79" s="65">
        <v>3450</v>
      </c>
      <c r="B79" s="52" t="s">
        <v>1260</v>
      </c>
      <c r="C79" s="52" t="s">
        <v>2591</v>
      </c>
      <c r="D79" s="53" t="s">
        <v>2592</v>
      </c>
      <c r="E79" s="54" t="s">
        <v>784</v>
      </c>
      <c r="F79" s="54" t="s">
        <v>145</v>
      </c>
    </row>
    <row r="80" spans="1:6" ht="12" x14ac:dyDescent="0.2">
      <c r="A80" s="65">
        <v>3500</v>
      </c>
      <c r="B80" s="52" t="s">
        <v>109</v>
      </c>
      <c r="C80" s="52" t="s">
        <v>110</v>
      </c>
      <c r="D80" s="53" t="s">
        <v>2593</v>
      </c>
      <c r="E80" s="54" t="s">
        <v>82</v>
      </c>
      <c r="F80" s="54" t="s">
        <v>82</v>
      </c>
    </row>
    <row r="81" spans="1:6" ht="12" x14ac:dyDescent="0.2">
      <c r="A81" s="65">
        <v>3502</v>
      </c>
      <c r="B81" s="52" t="s">
        <v>1006</v>
      </c>
      <c r="C81" s="52" t="s">
        <v>2594</v>
      </c>
      <c r="D81" s="53" t="s">
        <v>2595</v>
      </c>
      <c r="E81" s="54" t="s">
        <v>1006</v>
      </c>
      <c r="F81" s="54" t="s">
        <v>174</v>
      </c>
    </row>
    <row r="82" spans="1:6" ht="12" x14ac:dyDescent="0.2">
      <c r="A82" s="65">
        <v>3502</v>
      </c>
      <c r="B82" s="52" t="s">
        <v>1006</v>
      </c>
      <c r="C82" s="52" t="s">
        <v>2594</v>
      </c>
      <c r="D82" s="53" t="s">
        <v>2595</v>
      </c>
      <c r="E82" s="54" t="s">
        <v>1006</v>
      </c>
      <c r="F82" s="54" t="s">
        <v>174</v>
      </c>
    </row>
    <row r="83" spans="1:6" ht="12" x14ac:dyDescent="0.2">
      <c r="A83" s="65">
        <v>3505</v>
      </c>
      <c r="B83" s="52" t="s">
        <v>111</v>
      </c>
      <c r="C83" s="52" t="s">
        <v>2596</v>
      </c>
      <c r="D83" s="53" t="s">
        <v>2597</v>
      </c>
      <c r="E83" s="54" t="s">
        <v>43</v>
      </c>
      <c r="F83" s="54" t="s">
        <v>42</v>
      </c>
    </row>
    <row r="84" spans="1:6" ht="12" x14ac:dyDescent="0.2">
      <c r="A84" s="65">
        <v>3536</v>
      </c>
      <c r="B84" s="52" t="s">
        <v>1007</v>
      </c>
      <c r="C84" s="52" t="s">
        <v>2598</v>
      </c>
      <c r="D84" s="53" t="s">
        <v>2599</v>
      </c>
      <c r="E84" s="54" t="s">
        <v>1007</v>
      </c>
      <c r="F84" s="54" t="s">
        <v>48</v>
      </c>
    </row>
    <row r="85" spans="1:6" ht="12" x14ac:dyDescent="0.2">
      <c r="A85" s="65">
        <v>3567</v>
      </c>
      <c r="B85" s="52" t="s">
        <v>1261</v>
      </c>
      <c r="C85" s="52" t="s">
        <v>2600</v>
      </c>
      <c r="D85" s="53" t="s">
        <v>2601</v>
      </c>
      <c r="E85" s="54" t="s">
        <v>251</v>
      </c>
      <c r="F85" s="54" t="s">
        <v>251</v>
      </c>
    </row>
    <row r="86" spans="1:6" ht="12" x14ac:dyDescent="0.2">
      <c r="A86" s="65">
        <v>3599</v>
      </c>
      <c r="B86" s="52" t="s">
        <v>1262</v>
      </c>
      <c r="C86" s="52" t="s">
        <v>2603</v>
      </c>
      <c r="D86" s="53" t="s">
        <v>2604</v>
      </c>
      <c r="E86" s="54" t="s">
        <v>1263</v>
      </c>
      <c r="F86" s="54" t="s">
        <v>176</v>
      </c>
    </row>
    <row r="87" spans="1:6" ht="12" x14ac:dyDescent="0.2">
      <c r="A87" s="65">
        <v>3599</v>
      </c>
      <c r="B87" s="52" t="s">
        <v>1262</v>
      </c>
      <c r="C87" s="52" t="s">
        <v>2603</v>
      </c>
      <c r="D87" s="53" t="s">
        <v>2604</v>
      </c>
      <c r="E87" s="54" t="s">
        <v>1263</v>
      </c>
      <c r="F87" s="54" t="s">
        <v>176</v>
      </c>
    </row>
    <row r="88" spans="1:6" ht="12" x14ac:dyDescent="0.2">
      <c r="A88" s="65">
        <v>3615</v>
      </c>
      <c r="B88" s="52" t="s">
        <v>1264</v>
      </c>
      <c r="C88" s="52" t="s">
        <v>2605</v>
      </c>
      <c r="D88" s="53" t="s">
        <v>2606</v>
      </c>
      <c r="E88" s="54" t="s">
        <v>1265</v>
      </c>
      <c r="F88" s="54" t="s">
        <v>211</v>
      </c>
    </row>
    <row r="89" spans="1:6" ht="12" x14ac:dyDescent="0.2">
      <c r="A89" s="65">
        <v>3692</v>
      </c>
      <c r="B89" s="52" t="s">
        <v>1266</v>
      </c>
      <c r="C89" s="52" t="s">
        <v>2607</v>
      </c>
      <c r="D89" s="53" t="s">
        <v>2608</v>
      </c>
      <c r="E89" s="54" t="s">
        <v>891</v>
      </c>
      <c r="F89" s="54" t="s">
        <v>342</v>
      </c>
    </row>
    <row r="90" spans="1:6" ht="12" x14ac:dyDescent="0.2">
      <c r="A90" s="65">
        <v>3705</v>
      </c>
      <c r="B90" s="52" t="s">
        <v>891</v>
      </c>
      <c r="C90" s="52" t="s">
        <v>2609</v>
      </c>
      <c r="D90" s="53" t="s">
        <v>2610</v>
      </c>
      <c r="E90" s="54" t="s">
        <v>1267</v>
      </c>
      <c r="F90" s="54" t="s">
        <v>342</v>
      </c>
    </row>
    <row r="91" spans="1:6" ht="12" x14ac:dyDescent="0.2">
      <c r="A91" s="65">
        <v>3770</v>
      </c>
      <c r="B91" s="52" t="s">
        <v>1008</v>
      </c>
      <c r="C91" s="52" t="s">
        <v>2611</v>
      </c>
      <c r="D91" s="53" t="s">
        <v>2612</v>
      </c>
      <c r="E91" s="54" t="s">
        <v>1008</v>
      </c>
      <c r="F91" s="54" t="s">
        <v>174</v>
      </c>
    </row>
    <row r="92" spans="1:6" ht="12" x14ac:dyDescent="0.2">
      <c r="A92" s="65">
        <v>3789</v>
      </c>
      <c r="B92" s="52" t="s">
        <v>1268</v>
      </c>
      <c r="C92" s="52" t="s">
        <v>2613</v>
      </c>
      <c r="D92" s="53" t="s">
        <v>2614</v>
      </c>
      <c r="E92" s="54" t="s">
        <v>1268</v>
      </c>
      <c r="F92" s="54" t="s">
        <v>145</v>
      </c>
    </row>
    <row r="93" spans="1:6" ht="12" x14ac:dyDescent="0.2">
      <c r="A93" s="65">
        <v>3790</v>
      </c>
      <c r="B93" s="52" t="s">
        <v>2615</v>
      </c>
      <c r="C93" s="52" t="s">
        <v>2616</v>
      </c>
      <c r="D93" s="53" t="s">
        <v>2617</v>
      </c>
      <c r="E93" s="54" t="s">
        <v>112</v>
      </c>
      <c r="F93" s="54" t="s">
        <v>112</v>
      </c>
    </row>
    <row r="94" spans="1:6" ht="12" x14ac:dyDescent="0.2">
      <c r="A94" s="65">
        <v>3807</v>
      </c>
      <c r="B94" s="52" t="s">
        <v>113</v>
      </c>
      <c r="C94" s="52" t="s">
        <v>2618</v>
      </c>
      <c r="D94" s="53" t="s">
        <v>2619</v>
      </c>
      <c r="E94" s="54" t="s">
        <v>113</v>
      </c>
      <c r="F94" s="54" t="s">
        <v>51</v>
      </c>
    </row>
    <row r="95" spans="1:6" ht="12" x14ac:dyDescent="0.2">
      <c r="A95" s="65">
        <v>3811</v>
      </c>
      <c r="B95" s="52" t="s">
        <v>1269</v>
      </c>
      <c r="C95" s="52" t="s">
        <v>2620</v>
      </c>
      <c r="D95" s="53" t="s">
        <v>2621</v>
      </c>
      <c r="E95" s="54" t="s">
        <v>1270</v>
      </c>
      <c r="F95" s="54" t="s">
        <v>36</v>
      </c>
    </row>
    <row r="96" spans="1:6" ht="12" x14ac:dyDescent="0.2">
      <c r="A96" s="65">
        <v>3823</v>
      </c>
      <c r="B96" s="52" t="s">
        <v>1271</v>
      </c>
      <c r="C96" s="52" t="s">
        <v>2622</v>
      </c>
      <c r="D96" s="53" t="s">
        <v>2623</v>
      </c>
      <c r="E96" s="54" t="s">
        <v>640</v>
      </c>
      <c r="F96" s="54" t="s">
        <v>640</v>
      </c>
    </row>
    <row r="97" spans="1:6" ht="12" x14ac:dyDescent="0.2">
      <c r="A97" s="65">
        <v>3852</v>
      </c>
      <c r="B97" s="52" t="s">
        <v>2624</v>
      </c>
      <c r="C97" s="52" t="s">
        <v>2625</v>
      </c>
      <c r="D97" s="53" t="s">
        <v>2626</v>
      </c>
      <c r="E97" s="54" t="s">
        <v>913</v>
      </c>
      <c r="F97" s="54" t="s">
        <v>38</v>
      </c>
    </row>
    <row r="98" spans="1:6" ht="12" x14ac:dyDescent="0.2">
      <c r="A98" s="65">
        <v>3852</v>
      </c>
      <c r="B98" s="52" t="s">
        <v>2624</v>
      </c>
      <c r="C98" s="52" t="s">
        <v>2625</v>
      </c>
      <c r="D98" s="53" t="s">
        <v>2626</v>
      </c>
      <c r="E98" s="54" t="s">
        <v>913</v>
      </c>
      <c r="F98" s="54" t="s">
        <v>38</v>
      </c>
    </row>
    <row r="99" spans="1:6" ht="12" x14ac:dyDescent="0.2">
      <c r="A99" s="65">
        <v>3863</v>
      </c>
      <c r="B99" s="52" t="s">
        <v>1009</v>
      </c>
      <c r="C99" s="52" t="s">
        <v>2627</v>
      </c>
      <c r="D99" s="53" t="s">
        <v>2628</v>
      </c>
      <c r="E99" s="54" t="s">
        <v>1010</v>
      </c>
      <c r="F99" s="54" t="s">
        <v>2553</v>
      </c>
    </row>
    <row r="100" spans="1:6" ht="12" x14ac:dyDescent="0.2">
      <c r="A100" s="65">
        <v>3914</v>
      </c>
      <c r="B100" s="52" t="s">
        <v>87</v>
      </c>
      <c r="C100" s="52" t="s">
        <v>2629</v>
      </c>
      <c r="D100" s="53" t="s">
        <v>2630</v>
      </c>
      <c r="E100" s="54" t="s">
        <v>1011</v>
      </c>
      <c r="F100" s="54" t="s">
        <v>108</v>
      </c>
    </row>
    <row r="101" spans="1:6" ht="12" x14ac:dyDescent="0.2">
      <c r="A101" s="65">
        <v>3925</v>
      </c>
      <c r="B101" s="52" t="s">
        <v>2631</v>
      </c>
      <c r="C101" s="52" t="s">
        <v>2632</v>
      </c>
      <c r="D101" s="53" t="s">
        <v>2633</v>
      </c>
      <c r="E101" s="54" t="s">
        <v>2634</v>
      </c>
      <c r="F101" s="54" t="s">
        <v>48</v>
      </c>
    </row>
    <row r="102" spans="1:6" ht="12" x14ac:dyDescent="0.2">
      <c r="A102" s="65">
        <v>3931</v>
      </c>
      <c r="B102" s="52" t="s">
        <v>114</v>
      </c>
      <c r="C102" s="52" t="s">
        <v>2635</v>
      </c>
      <c r="D102" s="53" t="s">
        <v>2636</v>
      </c>
      <c r="E102" s="54" t="s">
        <v>115</v>
      </c>
      <c r="F102" s="54" t="s">
        <v>116</v>
      </c>
    </row>
    <row r="103" spans="1:6" ht="12" x14ac:dyDescent="0.2">
      <c r="A103" s="65">
        <v>3958</v>
      </c>
      <c r="B103" s="52" t="s">
        <v>176</v>
      </c>
      <c r="C103" s="52" t="s">
        <v>2637</v>
      </c>
      <c r="D103" s="53" t="s">
        <v>2638</v>
      </c>
      <c r="E103" s="54" t="s">
        <v>176</v>
      </c>
      <c r="F103" s="54" t="s">
        <v>176</v>
      </c>
    </row>
    <row r="104" spans="1:6" ht="12" x14ac:dyDescent="0.2">
      <c r="A104" s="65">
        <v>3996</v>
      </c>
      <c r="B104" s="52" t="s">
        <v>1272</v>
      </c>
      <c r="C104" s="52" t="s">
        <v>2639</v>
      </c>
      <c r="D104" s="53" t="s">
        <v>2640</v>
      </c>
      <c r="E104" s="54" t="s">
        <v>1272</v>
      </c>
      <c r="F104" s="54" t="s">
        <v>112</v>
      </c>
    </row>
    <row r="105" spans="1:6" ht="12" x14ac:dyDescent="0.2">
      <c r="A105" s="65">
        <v>4021</v>
      </c>
      <c r="B105" s="52" t="s">
        <v>1273</v>
      </c>
      <c r="C105" s="52" t="s">
        <v>2641</v>
      </c>
      <c r="D105" s="53" t="s">
        <v>2642</v>
      </c>
      <c r="E105" s="54" t="s">
        <v>426</v>
      </c>
      <c r="F105" s="54" t="s">
        <v>239</v>
      </c>
    </row>
    <row r="106" spans="1:6" ht="12" x14ac:dyDescent="0.2">
      <c r="A106" s="65">
        <v>4021</v>
      </c>
      <c r="B106" s="52" t="s">
        <v>1273</v>
      </c>
      <c r="C106" s="52" t="s">
        <v>2641</v>
      </c>
      <c r="D106" s="53" t="s">
        <v>2642</v>
      </c>
      <c r="E106" s="54" t="s">
        <v>426</v>
      </c>
      <c r="F106" s="54" t="s">
        <v>239</v>
      </c>
    </row>
    <row r="107" spans="1:6" ht="12" x14ac:dyDescent="0.2">
      <c r="A107" s="65">
        <v>4048</v>
      </c>
      <c r="B107" s="52" t="s">
        <v>2643</v>
      </c>
      <c r="C107" s="52" t="s">
        <v>2644</v>
      </c>
      <c r="D107" s="53" t="s">
        <v>2645</v>
      </c>
      <c r="E107" s="54" t="s">
        <v>117</v>
      </c>
      <c r="F107" s="54" t="s">
        <v>118</v>
      </c>
    </row>
    <row r="108" spans="1:6" ht="12" x14ac:dyDescent="0.2">
      <c r="A108" s="65">
        <v>4053</v>
      </c>
      <c r="B108" s="52" t="s">
        <v>119</v>
      </c>
      <c r="C108" s="52" t="s">
        <v>2646</v>
      </c>
      <c r="D108" s="53" t="s">
        <v>2647</v>
      </c>
      <c r="E108" s="54" t="s">
        <v>2648</v>
      </c>
      <c r="F108" s="54" t="s">
        <v>82</v>
      </c>
    </row>
    <row r="109" spans="1:6" ht="12" x14ac:dyDescent="0.2">
      <c r="A109" s="65">
        <v>4054</v>
      </c>
      <c r="B109" s="52" t="s">
        <v>1012</v>
      </c>
      <c r="C109" s="52" t="s">
        <v>2649</v>
      </c>
      <c r="D109" s="53" t="s">
        <v>2650</v>
      </c>
      <c r="E109" s="54" t="s">
        <v>731</v>
      </c>
      <c r="F109" s="54" t="s">
        <v>253</v>
      </c>
    </row>
    <row r="110" spans="1:6" ht="12" x14ac:dyDescent="0.2">
      <c r="A110" s="65">
        <v>4076</v>
      </c>
      <c r="B110" s="52" t="s">
        <v>1013</v>
      </c>
      <c r="C110" s="52" t="s">
        <v>2651</v>
      </c>
      <c r="D110" s="53" t="s">
        <v>2652</v>
      </c>
      <c r="E110" s="54" t="s">
        <v>1014</v>
      </c>
      <c r="F110" s="54" t="s">
        <v>65</v>
      </c>
    </row>
    <row r="111" spans="1:6" ht="12" x14ac:dyDescent="0.2">
      <c r="A111" s="65">
        <v>4084</v>
      </c>
      <c r="B111" s="52" t="s">
        <v>1274</v>
      </c>
      <c r="C111" s="52" t="s">
        <v>2653</v>
      </c>
      <c r="D111" s="53" t="s">
        <v>2654</v>
      </c>
      <c r="E111" s="54" t="s">
        <v>1275</v>
      </c>
      <c r="F111" s="54" t="s">
        <v>640</v>
      </c>
    </row>
    <row r="112" spans="1:6" ht="12" x14ac:dyDescent="0.2">
      <c r="A112" s="65">
        <v>4105</v>
      </c>
      <c r="B112" s="52" t="s">
        <v>2655</v>
      </c>
      <c r="C112" s="52" t="s">
        <v>2656</v>
      </c>
      <c r="D112" s="53" t="s">
        <v>2657</v>
      </c>
      <c r="E112" s="54" t="s">
        <v>2655</v>
      </c>
      <c r="F112" s="54" t="s">
        <v>154</v>
      </c>
    </row>
    <row r="113" spans="1:6" ht="12" x14ac:dyDescent="0.2">
      <c r="A113" s="65">
        <v>4132</v>
      </c>
      <c r="B113" s="52" t="s">
        <v>543</v>
      </c>
      <c r="C113" s="52" t="s">
        <v>2658</v>
      </c>
      <c r="D113" s="53" t="s">
        <v>2659</v>
      </c>
      <c r="E113" s="54" t="s">
        <v>544</v>
      </c>
      <c r="F113" s="54" t="s">
        <v>177</v>
      </c>
    </row>
    <row r="114" spans="1:6" ht="12" x14ac:dyDescent="0.2">
      <c r="A114" s="65">
        <v>4160</v>
      </c>
      <c r="B114" s="52" t="s">
        <v>2660</v>
      </c>
      <c r="C114" s="52" t="s">
        <v>2661</v>
      </c>
      <c r="D114" s="53" t="s">
        <v>2662</v>
      </c>
      <c r="E114" s="54" t="s">
        <v>84</v>
      </c>
      <c r="F114" s="54" t="s">
        <v>84</v>
      </c>
    </row>
    <row r="115" spans="1:6" ht="12" x14ac:dyDescent="0.2">
      <c r="A115" s="65">
        <v>4161</v>
      </c>
      <c r="B115" s="52" t="s">
        <v>2663</v>
      </c>
      <c r="C115" s="52" t="s">
        <v>545</v>
      </c>
      <c r="D115" s="53" t="s">
        <v>2458</v>
      </c>
      <c r="E115" s="54" t="s">
        <v>84</v>
      </c>
      <c r="F115" s="54" t="s">
        <v>84</v>
      </c>
    </row>
    <row r="116" spans="1:6" ht="12" x14ac:dyDescent="0.2">
      <c r="A116" s="65">
        <v>4180</v>
      </c>
      <c r="B116" s="52" t="s">
        <v>120</v>
      </c>
      <c r="C116" s="52" t="s">
        <v>2664</v>
      </c>
      <c r="D116" s="53" t="s">
        <v>2485</v>
      </c>
      <c r="E116" s="54" t="s">
        <v>84</v>
      </c>
      <c r="F116" s="54" t="s">
        <v>84</v>
      </c>
    </row>
    <row r="117" spans="1:6" ht="12" x14ac:dyDescent="0.2">
      <c r="A117" s="65">
        <v>4219</v>
      </c>
      <c r="B117" s="52" t="s">
        <v>2665</v>
      </c>
      <c r="C117" s="52" t="s">
        <v>2666</v>
      </c>
      <c r="D117" s="53" t="s">
        <v>2494</v>
      </c>
      <c r="E117" s="54" t="s">
        <v>84</v>
      </c>
      <c r="F117" s="54" t="s">
        <v>84</v>
      </c>
    </row>
    <row r="118" spans="1:6" ht="12" x14ac:dyDescent="0.2">
      <c r="A118" s="65">
        <v>4257</v>
      </c>
      <c r="B118" s="52" t="s">
        <v>2667</v>
      </c>
      <c r="C118" s="52" t="s">
        <v>2668</v>
      </c>
      <c r="D118" s="53" t="s">
        <v>2669</v>
      </c>
      <c r="E118" s="54" t="s">
        <v>2667</v>
      </c>
      <c r="F118" s="54" t="s">
        <v>84</v>
      </c>
    </row>
    <row r="119" spans="1:6" ht="12" x14ac:dyDescent="0.2">
      <c r="A119" s="65">
        <v>4257</v>
      </c>
      <c r="B119" s="52" t="s">
        <v>2667</v>
      </c>
      <c r="C119" s="52" t="s">
        <v>2668</v>
      </c>
      <c r="D119" s="53" t="s">
        <v>2669</v>
      </c>
      <c r="E119" s="54" t="s">
        <v>2667</v>
      </c>
      <c r="F119" s="54" t="s">
        <v>84</v>
      </c>
    </row>
    <row r="120" spans="1:6" ht="12" x14ac:dyDescent="0.2">
      <c r="A120" s="65">
        <v>4271</v>
      </c>
      <c r="B120" s="52" t="s">
        <v>1276</v>
      </c>
      <c r="C120" s="52" t="s">
        <v>1277</v>
      </c>
      <c r="D120" s="53" t="s">
        <v>2670</v>
      </c>
      <c r="E120" s="54" t="s">
        <v>112</v>
      </c>
      <c r="F120" s="54" t="s">
        <v>112</v>
      </c>
    </row>
    <row r="121" spans="1:6" ht="12" x14ac:dyDescent="0.2">
      <c r="A121" s="65">
        <v>4283</v>
      </c>
      <c r="B121" s="52" t="s">
        <v>410</v>
      </c>
      <c r="C121" s="52" t="s">
        <v>2671</v>
      </c>
      <c r="D121" s="53" t="s">
        <v>2672</v>
      </c>
      <c r="E121" s="54" t="s">
        <v>410</v>
      </c>
      <c r="F121" s="54" t="s">
        <v>123</v>
      </c>
    </row>
    <row r="122" spans="1:6" ht="12" x14ac:dyDescent="0.2">
      <c r="A122" s="65">
        <v>4292</v>
      </c>
      <c r="B122" s="52" t="s">
        <v>1015</v>
      </c>
      <c r="C122" s="52" t="s">
        <v>2673</v>
      </c>
      <c r="D122" s="53" t="s">
        <v>2674</v>
      </c>
      <c r="E122" s="54" t="s">
        <v>1015</v>
      </c>
      <c r="F122" s="54" t="s">
        <v>84</v>
      </c>
    </row>
    <row r="123" spans="1:6" ht="12" x14ac:dyDescent="0.2">
      <c r="A123" s="65">
        <v>4305</v>
      </c>
      <c r="B123" s="52" t="s">
        <v>1278</v>
      </c>
      <c r="C123" s="52" t="s">
        <v>2675</v>
      </c>
      <c r="D123" s="53" t="s">
        <v>2617</v>
      </c>
      <c r="E123" s="54" t="s">
        <v>112</v>
      </c>
      <c r="F123" s="54" t="s">
        <v>112</v>
      </c>
    </row>
    <row r="124" spans="1:6" ht="12" x14ac:dyDescent="0.2">
      <c r="A124" s="65">
        <v>4362</v>
      </c>
      <c r="B124" s="52" t="s">
        <v>1280</v>
      </c>
      <c r="C124" s="52" t="s">
        <v>2676</v>
      </c>
      <c r="D124" s="53" t="s">
        <v>2677</v>
      </c>
      <c r="E124" s="54" t="s">
        <v>1281</v>
      </c>
      <c r="F124" s="54" t="s">
        <v>154</v>
      </c>
    </row>
    <row r="125" spans="1:6" ht="12" x14ac:dyDescent="0.2">
      <c r="A125" s="65">
        <v>4376</v>
      </c>
      <c r="B125" s="52" t="s">
        <v>1016</v>
      </c>
      <c r="C125" s="52" t="s">
        <v>2678</v>
      </c>
      <c r="D125" s="53" t="s">
        <v>2487</v>
      </c>
      <c r="E125" s="54" t="s">
        <v>590</v>
      </c>
      <c r="F125" s="54" t="s">
        <v>152</v>
      </c>
    </row>
    <row r="126" spans="1:6" ht="12" x14ac:dyDescent="0.2">
      <c r="A126" s="65">
        <v>4386</v>
      </c>
      <c r="B126" s="52" t="s">
        <v>1282</v>
      </c>
      <c r="C126" s="52" t="s">
        <v>2679</v>
      </c>
      <c r="D126" s="53" t="s">
        <v>2680</v>
      </c>
      <c r="E126" s="54" t="s">
        <v>1282</v>
      </c>
      <c r="F126" s="54" t="s">
        <v>342</v>
      </c>
    </row>
    <row r="127" spans="1:6" ht="12" x14ac:dyDescent="0.2">
      <c r="A127" s="65">
        <v>4396</v>
      </c>
      <c r="B127" s="52" t="s">
        <v>2681</v>
      </c>
      <c r="C127" s="52" t="s">
        <v>2682</v>
      </c>
      <c r="D127" s="53" t="s">
        <v>2683</v>
      </c>
      <c r="E127" s="54" t="s">
        <v>871</v>
      </c>
      <c r="F127" s="54" t="s">
        <v>48</v>
      </c>
    </row>
    <row r="128" spans="1:6" ht="12" x14ac:dyDescent="0.2">
      <c r="A128" s="65">
        <v>4437</v>
      </c>
      <c r="B128" s="52" t="s">
        <v>546</v>
      </c>
      <c r="C128" s="52" t="s">
        <v>2684</v>
      </c>
      <c r="D128" s="53" t="s">
        <v>2685</v>
      </c>
      <c r="E128" s="54" t="s">
        <v>65</v>
      </c>
      <c r="F128" s="54" t="s">
        <v>65</v>
      </c>
    </row>
    <row r="129" spans="1:6" ht="12" x14ac:dyDescent="0.2">
      <c r="A129" s="65">
        <v>4455</v>
      </c>
      <c r="B129" s="52" t="s">
        <v>121</v>
      </c>
      <c r="C129" s="52" t="s">
        <v>2686</v>
      </c>
      <c r="D129" s="53" t="s">
        <v>2687</v>
      </c>
      <c r="E129" s="54" t="s">
        <v>84</v>
      </c>
      <c r="F129" s="54" t="s">
        <v>84</v>
      </c>
    </row>
    <row r="130" spans="1:6" ht="12" x14ac:dyDescent="0.2">
      <c r="A130" s="65">
        <v>4463</v>
      </c>
      <c r="B130" s="52" t="s">
        <v>1017</v>
      </c>
      <c r="C130" s="52" t="s">
        <v>2688</v>
      </c>
      <c r="D130" s="53" t="s">
        <v>2689</v>
      </c>
      <c r="E130" s="54" t="s">
        <v>154</v>
      </c>
      <c r="F130" s="54" t="s">
        <v>154</v>
      </c>
    </row>
    <row r="131" spans="1:6" ht="12" x14ac:dyDescent="0.2">
      <c r="A131" s="65">
        <v>4468</v>
      </c>
      <c r="B131" s="52" t="s">
        <v>122</v>
      </c>
      <c r="C131" s="52" t="s">
        <v>2690</v>
      </c>
      <c r="D131" s="53" t="s">
        <v>2691</v>
      </c>
      <c r="E131" s="54" t="s">
        <v>123</v>
      </c>
      <c r="F131" s="54" t="s">
        <v>123</v>
      </c>
    </row>
    <row r="132" spans="1:6" ht="12" x14ac:dyDescent="0.2">
      <c r="A132" s="65">
        <v>4503</v>
      </c>
      <c r="B132" s="52" t="s">
        <v>1018</v>
      </c>
      <c r="C132" s="52" t="s">
        <v>2692</v>
      </c>
      <c r="D132" s="53" t="s">
        <v>2693</v>
      </c>
      <c r="E132" s="54" t="s">
        <v>1019</v>
      </c>
      <c r="F132" s="54" t="s">
        <v>253</v>
      </c>
    </row>
    <row r="133" spans="1:6" ht="12" x14ac:dyDescent="0.2">
      <c r="A133" s="65">
        <v>4512</v>
      </c>
      <c r="B133" s="52" t="s">
        <v>124</v>
      </c>
      <c r="C133" s="52" t="s">
        <v>2694</v>
      </c>
      <c r="D133" s="53" t="s">
        <v>2695</v>
      </c>
      <c r="E133" s="54" t="s">
        <v>125</v>
      </c>
      <c r="F133" s="54" t="s">
        <v>118</v>
      </c>
    </row>
    <row r="134" spans="1:6" ht="12" x14ac:dyDescent="0.2">
      <c r="A134" s="65">
        <v>4520</v>
      </c>
      <c r="B134" s="52" t="s">
        <v>1932</v>
      </c>
      <c r="C134" s="52" t="s">
        <v>2696</v>
      </c>
      <c r="D134" s="53" t="s">
        <v>2697</v>
      </c>
      <c r="E134" s="54" t="s">
        <v>2698</v>
      </c>
      <c r="F134" s="54" t="s">
        <v>116</v>
      </c>
    </row>
    <row r="135" spans="1:6" ht="12" x14ac:dyDescent="0.2">
      <c r="A135" s="65">
        <v>4524</v>
      </c>
      <c r="B135" s="52" t="s">
        <v>1953</v>
      </c>
      <c r="C135" s="52" t="s">
        <v>2699</v>
      </c>
      <c r="D135" s="53" t="s">
        <v>2700</v>
      </c>
      <c r="E135" s="54" t="s">
        <v>765</v>
      </c>
      <c r="F135" s="54" t="s">
        <v>116</v>
      </c>
    </row>
    <row r="136" spans="1:6" ht="12" x14ac:dyDescent="0.2">
      <c r="A136" s="65">
        <v>4531</v>
      </c>
      <c r="B136" s="52" t="s">
        <v>2701</v>
      </c>
      <c r="C136" s="52" t="s">
        <v>2702</v>
      </c>
      <c r="D136" s="53" t="s">
        <v>2703</v>
      </c>
      <c r="E136" s="54" t="s">
        <v>324</v>
      </c>
      <c r="F136" s="54" t="s">
        <v>2505</v>
      </c>
    </row>
    <row r="137" spans="1:6" ht="12" x14ac:dyDescent="0.2">
      <c r="A137" s="65">
        <v>4533</v>
      </c>
      <c r="B137" s="52" t="s">
        <v>1933</v>
      </c>
      <c r="C137" s="52" t="s">
        <v>2704</v>
      </c>
      <c r="D137" s="53" t="s">
        <v>2705</v>
      </c>
      <c r="E137" s="54" t="s">
        <v>1934</v>
      </c>
      <c r="F137" s="54" t="s">
        <v>108</v>
      </c>
    </row>
    <row r="138" spans="1:6" ht="12" x14ac:dyDescent="0.2">
      <c r="A138" s="65">
        <v>4534</v>
      </c>
      <c r="B138" s="52" t="s">
        <v>1954</v>
      </c>
      <c r="C138" s="52" t="s">
        <v>2706</v>
      </c>
      <c r="D138" s="53" t="s">
        <v>2581</v>
      </c>
      <c r="E138" s="54" t="s">
        <v>168</v>
      </c>
      <c r="F138" s="54" t="s">
        <v>108</v>
      </c>
    </row>
    <row r="139" spans="1:6" ht="12" x14ac:dyDescent="0.2">
      <c r="A139" s="65">
        <v>4548</v>
      </c>
      <c r="B139" s="52" t="s">
        <v>1283</v>
      </c>
      <c r="C139" s="52" t="s">
        <v>2707</v>
      </c>
      <c r="D139" s="53" t="s">
        <v>2708</v>
      </c>
      <c r="E139" s="54" t="s">
        <v>1284</v>
      </c>
      <c r="F139" s="54" t="s">
        <v>108</v>
      </c>
    </row>
    <row r="140" spans="1:6" ht="12" x14ac:dyDescent="0.2">
      <c r="A140" s="65">
        <v>4555</v>
      </c>
      <c r="B140" s="52" t="s">
        <v>2709</v>
      </c>
      <c r="C140" s="52" t="s">
        <v>2710</v>
      </c>
      <c r="D140" s="53" t="s">
        <v>2711</v>
      </c>
      <c r="E140" s="54" t="s">
        <v>1200</v>
      </c>
      <c r="F140" s="54" t="s">
        <v>116</v>
      </c>
    </row>
    <row r="141" spans="1:6" ht="12" x14ac:dyDescent="0.2">
      <c r="A141" s="65">
        <v>4556</v>
      </c>
      <c r="B141" s="52" t="s">
        <v>1285</v>
      </c>
      <c r="C141" s="52" t="s">
        <v>2712</v>
      </c>
      <c r="D141" s="53" t="s">
        <v>2713</v>
      </c>
      <c r="E141" s="54" t="s">
        <v>655</v>
      </c>
      <c r="F141" s="54" t="s">
        <v>135</v>
      </c>
    </row>
    <row r="142" spans="1:6" ht="12" x14ac:dyDescent="0.2">
      <c r="A142" s="65">
        <v>4568</v>
      </c>
      <c r="B142" s="52" t="s">
        <v>126</v>
      </c>
      <c r="C142" s="52" t="s">
        <v>2714</v>
      </c>
      <c r="D142" s="53" t="s">
        <v>2715</v>
      </c>
      <c r="E142" s="54" t="s">
        <v>127</v>
      </c>
      <c r="F142" s="54" t="s">
        <v>2505</v>
      </c>
    </row>
    <row r="143" spans="1:6" ht="12" x14ac:dyDescent="0.2">
      <c r="A143" s="65">
        <v>4591</v>
      </c>
      <c r="B143" s="52" t="s">
        <v>1286</v>
      </c>
      <c r="C143" s="52" t="s">
        <v>2716</v>
      </c>
      <c r="D143" s="53" t="s">
        <v>2601</v>
      </c>
      <c r="E143" s="54" t="s">
        <v>251</v>
      </c>
      <c r="F143" s="54" t="s">
        <v>251</v>
      </c>
    </row>
    <row r="144" spans="1:6" ht="12" x14ac:dyDescent="0.2">
      <c r="A144" s="65">
        <v>4596</v>
      </c>
      <c r="B144" s="52" t="s">
        <v>1955</v>
      </c>
      <c r="C144" s="52" t="s">
        <v>2717</v>
      </c>
      <c r="D144" s="53" t="s">
        <v>2718</v>
      </c>
      <c r="E144" s="54" t="s">
        <v>118</v>
      </c>
      <c r="F144" s="54" t="s">
        <v>118</v>
      </c>
    </row>
    <row r="145" spans="1:6" ht="12" x14ac:dyDescent="0.2">
      <c r="A145" s="65">
        <v>4609</v>
      </c>
      <c r="B145" s="52" t="s">
        <v>1935</v>
      </c>
      <c r="C145" s="52" t="s">
        <v>2719</v>
      </c>
      <c r="D145" s="53" t="s">
        <v>2587</v>
      </c>
      <c r="E145" s="54" t="s">
        <v>778</v>
      </c>
      <c r="F145" s="54" t="s">
        <v>80</v>
      </c>
    </row>
    <row r="146" spans="1:6" ht="12" x14ac:dyDescent="0.2">
      <c r="A146" s="65">
        <v>4610</v>
      </c>
      <c r="B146" s="52" t="s">
        <v>1936</v>
      </c>
      <c r="C146" s="52" t="s">
        <v>1958</v>
      </c>
      <c r="D146" s="53" t="s">
        <v>2721</v>
      </c>
      <c r="E146" s="54" t="s">
        <v>156</v>
      </c>
      <c r="F146" s="54" t="s">
        <v>118</v>
      </c>
    </row>
    <row r="147" spans="1:6" ht="12" x14ac:dyDescent="0.2">
      <c r="A147" s="65">
        <v>4622</v>
      </c>
      <c r="B147" s="52" t="s">
        <v>1937</v>
      </c>
      <c r="C147" s="52" t="s">
        <v>2722</v>
      </c>
      <c r="D147" s="53" t="s">
        <v>2723</v>
      </c>
      <c r="E147" s="54" t="s">
        <v>1938</v>
      </c>
      <c r="F147" s="54" t="s">
        <v>116</v>
      </c>
    </row>
    <row r="148" spans="1:6" ht="12" x14ac:dyDescent="0.2">
      <c r="A148" s="65">
        <v>4672</v>
      </c>
      <c r="B148" s="52" t="s">
        <v>1956</v>
      </c>
      <c r="C148" s="52" t="s">
        <v>2724</v>
      </c>
      <c r="D148" s="53" t="s">
        <v>2725</v>
      </c>
      <c r="E148" s="54" t="s">
        <v>1957</v>
      </c>
      <c r="F148" s="54" t="s">
        <v>108</v>
      </c>
    </row>
    <row r="149" spans="1:6" ht="12" x14ac:dyDescent="0.2">
      <c r="A149" s="65">
        <v>4700</v>
      </c>
      <c r="B149" s="52" t="s">
        <v>128</v>
      </c>
      <c r="C149" s="52" t="s">
        <v>2727</v>
      </c>
      <c r="D149" s="53" t="s">
        <v>2728</v>
      </c>
      <c r="E149" s="54" t="s">
        <v>129</v>
      </c>
      <c r="F149" s="54" t="s">
        <v>49</v>
      </c>
    </row>
    <row r="150" spans="1:6" ht="12" x14ac:dyDescent="0.2">
      <c r="A150" s="65">
        <v>4708</v>
      </c>
      <c r="B150" s="52" t="s">
        <v>1287</v>
      </c>
      <c r="C150" s="52" t="s">
        <v>1288</v>
      </c>
      <c r="D150" s="53" t="s">
        <v>2729</v>
      </c>
      <c r="E150" s="54" t="s">
        <v>1287</v>
      </c>
      <c r="F150" s="54" t="s">
        <v>640</v>
      </c>
    </row>
    <row r="151" spans="1:6" ht="12" x14ac:dyDescent="0.2">
      <c r="A151" s="65">
        <v>4709</v>
      </c>
      <c r="B151" s="52" t="s">
        <v>1020</v>
      </c>
      <c r="C151" s="52" t="s">
        <v>2730</v>
      </c>
      <c r="D151" s="53" t="s">
        <v>2731</v>
      </c>
      <c r="E151" s="54" t="s">
        <v>1020</v>
      </c>
      <c r="F151" s="54" t="s">
        <v>342</v>
      </c>
    </row>
    <row r="152" spans="1:6" ht="12" x14ac:dyDescent="0.2">
      <c r="A152" s="65">
        <v>4713</v>
      </c>
      <c r="B152" s="52" t="s">
        <v>311</v>
      </c>
      <c r="C152" s="52" t="s">
        <v>2732</v>
      </c>
      <c r="D152" s="53" t="s">
        <v>2733</v>
      </c>
      <c r="E152" s="54" t="s">
        <v>311</v>
      </c>
      <c r="F152" s="54" t="s">
        <v>50</v>
      </c>
    </row>
    <row r="153" spans="1:6" ht="12" x14ac:dyDescent="0.2">
      <c r="A153" s="65">
        <v>4720</v>
      </c>
      <c r="B153" s="52" t="s">
        <v>1289</v>
      </c>
      <c r="C153" s="52" t="s">
        <v>2735</v>
      </c>
      <c r="D153" s="53" t="s">
        <v>2736</v>
      </c>
      <c r="E153" s="54" t="s">
        <v>1289</v>
      </c>
      <c r="F153" s="54" t="s">
        <v>332</v>
      </c>
    </row>
    <row r="154" spans="1:6" ht="12" x14ac:dyDescent="0.2">
      <c r="A154" s="65">
        <v>4725</v>
      </c>
      <c r="B154" s="52" t="s">
        <v>130</v>
      </c>
      <c r="C154" s="52" t="s">
        <v>131</v>
      </c>
      <c r="D154" s="53" t="s">
        <v>2737</v>
      </c>
      <c r="E154" s="54" t="s">
        <v>84</v>
      </c>
      <c r="F154" s="54" t="s">
        <v>84</v>
      </c>
    </row>
    <row r="155" spans="1:6" ht="12" x14ac:dyDescent="0.2">
      <c r="A155" s="65">
        <v>4875</v>
      </c>
      <c r="B155" s="52" t="s">
        <v>1021</v>
      </c>
      <c r="C155" s="52" t="s">
        <v>2738</v>
      </c>
      <c r="D155" s="53" t="s">
        <v>2739</v>
      </c>
      <c r="E155" s="54" t="s">
        <v>1021</v>
      </c>
      <c r="F155" s="54" t="s">
        <v>108</v>
      </c>
    </row>
    <row r="156" spans="1:6" ht="12" x14ac:dyDescent="0.2">
      <c r="A156" s="65">
        <v>4875</v>
      </c>
      <c r="B156" s="52" t="s">
        <v>1021</v>
      </c>
      <c r="C156" s="52" t="s">
        <v>2738</v>
      </c>
      <c r="D156" s="53" t="s">
        <v>2739</v>
      </c>
      <c r="E156" s="54" t="s">
        <v>1021</v>
      </c>
      <c r="F156" s="54" t="s">
        <v>108</v>
      </c>
    </row>
    <row r="157" spans="1:6" ht="12" x14ac:dyDescent="0.2">
      <c r="A157" s="65">
        <v>4884</v>
      </c>
      <c r="B157" s="52" t="s">
        <v>1939</v>
      </c>
      <c r="C157" s="52" t="s">
        <v>2740</v>
      </c>
      <c r="D157" s="53" t="s">
        <v>2741</v>
      </c>
      <c r="E157" s="54" t="s">
        <v>1657</v>
      </c>
      <c r="F157" s="54" t="s">
        <v>37</v>
      </c>
    </row>
    <row r="158" spans="1:6" ht="12" x14ac:dyDescent="0.2">
      <c r="A158" s="65">
        <v>4901</v>
      </c>
      <c r="B158" s="52" t="s">
        <v>547</v>
      </c>
      <c r="C158" s="52" t="s">
        <v>2742</v>
      </c>
      <c r="D158" s="53" t="s">
        <v>2743</v>
      </c>
      <c r="E158" s="54" t="s">
        <v>84</v>
      </c>
      <c r="F158" s="54" t="s">
        <v>84</v>
      </c>
    </row>
    <row r="159" spans="1:6" ht="12" x14ac:dyDescent="0.2">
      <c r="A159" s="65">
        <v>4918</v>
      </c>
      <c r="B159" s="52" t="s">
        <v>1022</v>
      </c>
      <c r="C159" s="52" t="s">
        <v>2744</v>
      </c>
      <c r="D159" s="53" t="s">
        <v>2745</v>
      </c>
      <c r="E159" s="54" t="s">
        <v>1023</v>
      </c>
      <c r="F159" s="54" t="s">
        <v>174</v>
      </c>
    </row>
    <row r="160" spans="1:6" ht="12" x14ac:dyDescent="0.2">
      <c r="A160" s="65">
        <v>4929</v>
      </c>
      <c r="B160" s="52" t="s">
        <v>2746</v>
      </c>
      <c r="C160" s="52" t="s">
        <v>2747</v>
      </c>
      <c r="D160" s="53" t="s">
        <v>2748</v>
      </c>
      <c r="E160" s="54" t="s">
        <v>132</v>
      </c>
      <c r="F160" s="54" t="s">
        <v>116</v>
      </c>
    </row>
    <row r="161" spans="1:6" ht="12" x14ac:dyDescent="0.2">
      <c r="A161" s="65">
        <v>4960</v>
      </c>
      <c r="B161" s="52" t="s">
        <v>1290</v>
      </c>
      <c r="C161" s="52" t="s">
        <v>1291</v>
      </c>
      <c r="D161" s="53" t="s">
        <v>2749</v>
      </c>
      <c r="E161" s="54" t="s">
        <v>84</v>
      </c>
      <c r="F161" s="54" t="s">
        <v>84</v>
      </c>
    </row>
    <row r="162" spans="1:6" ht="12" x14ac:dyDescent="0.2">
      <c r="A162" s="65">
        <v>4965</v>
      </c>
      <c r="B162" s="52" t="s">
        <v>2750</v>
      </c>
      <c r="C162" s="52" t="s">
        <v>2751</v>
      </c>
      <c r="D162" s="53" t="s">
        <v>2752</v>
      </c>
      <c r="E162" s="54" t="s">
        <v>748</v>
      </c>
      <c r="F162" s="54" t="s">
        <v>116</v>
      </c>
    </row>
    <row r="163" spans="1:6" ht="12" x14ac:dyDescent="0.2">
      <c r="A163" s="65">
        <v>4995</v>
      </c>
      <c r="B163" s="52" t="s">
        <v>1024</v>
      </c>
      <c r="C163" s="52" t="s">
        <v>2753</v>
      </c>
      <c r="D163" s="53" t="s">
        <v>2754</v>
      </c>
      <c r="E163" s="54" t="s">
        <v>1025</v>
      </c>
      <c r="F163" s="54" t="s">
        <v>158</v>
      </c>
    </row>
    <row r="164" spans="1:6" ht="12" x14ac:dyDescent="0.2">
      <c r="A164" s="65">
        <v>5016</v>
      </c>
      <c r="B164" s="52" t="s">
        <v>1026</v>
      </c>
      <c r="C164" s="52" t="s">
        <v>2755</v>
      </c>
      <c r="D164" s="53" t="s">
        <v>2756</v>
      </c>
      <c r="E164" s="54" t="s">
        <v>1026</v>
      </c>
      <c r="F164" s="54" t="s">
        <v>112</v>
      </c>
    </row>
    <row r="165" spans="1:6" ht="12" x14ac:dyDescent="0.2">
      <c r="A165" s="65">
        <v>5070</v>
      </c>
      <c r="B165" s="52" t="s">
        <v>1940</v>
      </c>
      <c r="C165" s="52" t="s">
        <v>2757</v>
      </c>
      <c r="D165" s="53" t="s">
        <v>2758</v>
      </c>
      <c r="E165" s="54" t="s">
        <v>1167</v>
      </c>
      <c r="F165" s="54" t="s">
        <v>108</v>
      </c>
    </row>
    <row r="166" spans="1:6" ht="12" x14ac:dyDescent="0.2">
      <c r="A166" s="65">
        <v>5167</v>
      </c>
      <c r="B166" s="52" t="s">
        <v>548</v>
      </c>
      <c r="C166" s="52" t="s">
        <v>2759</v>
      </c>
      <c r="D166" s="53" t="s">
        <v>2760</v>
      </c>
      <c r="E166" s="54" t="s">
        <v>548</v>
      </c>
      <c r="F166" s="54" t="s">
        <v>116</v>
      </c>
    </row>
    <row r="167" spans="1:6" ht="12" x14ac:dyDescent="0.2">
      <c r="A167" s="65">
        <v>5170</v>
      </c>
      <c r="B167" s="52" t="s">
        <v>1941</v>
      </c>
      <c r="C167" s="52" t="s">
        <v>2761</v>
      </c>
      <c r="D167" s="53" t="s">
        <v>2762</v>
      </c>
      <c r="E167" s="54" t="s">
        <v>1942</v>
      </c>
      <c r="F167" s="54" t="s">
        <v>158</v>
      </c>
    </row>
    <row r="168" spans="1:6" ht="12" x14ac:dyDescent="0.2">
      <c r="A168" s="65">
        <v>5180</v>
      </c>
      <c r="B168" s="52" t="s">
        <v>549</v>
      </c>
      <c r="C168" s="52" t="s">
        <v>2763</v>
      </c>
      <c r="D168" s="53" t="s">
        <v>2764</v>
      </c>
      <c r="E168" s="54" t="s">
        <v>549</v>
      </c>
      <c r="F168" s="54" t="s">
        <v>207</v>
      </c>
    </row>
    <row r="169" spans="1:6" ht="12" x14ac:dyDescent="0.2">
      <c r="A169" s="65">
        <v>5262</v>
      </c>
      <c r="B169" s="52" t="s">
        <v>1943</v>
      </c>
      <c r="C169" s="52" t="s">
        <v>2765</v>
      </c>
      <c r="D169" s="53" t="s">
        <v>2766</v>
      </c>
      <c r="E169" s="54" t="s">
        <v>581</v>
      </c>
      <c r="F169" s="54" t="s">
        <v>37</v>
      </c>
    </row>
    <row r="170" spans="1:6" ht="12" x14ac:dyDescent="0.2">
      <c r="A170" s="65">
        <v>5271</v>
      </c>
      <c r="B170" s="52" t="s">
        <v>1959</v>
      </c>
      <c r="C170" s="52" t="s">
        <v>2767</v>
      </c>
      <c r="D170" s="53" t="s">
        <v>2768</v>
      </c>
      <c r="E170" s="54" t="s">
        <v>308</v>
      </c>
      <c r="F170" s="54" t="s">
        <v>48</v>
      </c>
    </row>
    <row r="171" spans="1:6" ht="12" x14ac:dyDescent="0.2">
      <c r="A171" s="65">
        <v>5287</v>
      </c>
      <c r="B171" s="52" t="s">
        <v>550</v>
      </c>
      <c r="C171" s="52" t="s">
        <v>2769</v>
      </c>
      <c r="D171" s="53" t="s">
        <v>2689</v>
      </c>
      <c r="E171" s="54" t="s">
        <v>154</v>
      </c>
      <c r="F171" s="54" t="s">
        <v>154</v>
      </c>
    </row>
    <row r="172" spans="1:6" ht="12" x14ac:dyDescent="0.2">
      <c r="A172" s="65">
        <v>5360</v>
      </c>
      <c r="B172" s="52" t="s">
        <v>2770</v>
      </c>
      <c r="C172" s="52" t="s">
        <v>2771</v>
      </c>
      <c r="D172" s="53" t="s">
        <v>2772</v>
      </c>
      <c r="E172" s="54" t="s">
        <v>1161</v>
      </c>
      <c r="F172" s="54" t="s">
        <v>42</v>
      </c>
    </row>
    <row r="173" spans="1:6" ht="12" x14ac:dyDescent="0.2">
      <c r="A173" s="65">
        <v>5369</v>
      </c>
      <c r="B173" s="52" t="s">
        <v>2773</v>
      </c>
      <c r="C173" s="52" t="s">
        <v>2774</v>
      </c>
      <c r="D173" s="53" t="s">
        <v>2775</v>
      </c>
      <c r="E173" s="54" t="s">
        <v>1414</v>
      </c>
      <c r="F173" s="54" t="s">
        <v>171</v>
      </c>
    </row>
    <row r="174" spans="1:6" ht="12" x14ac:dyDescent="0.2">
      <c r="A174" s="65">
        <v>5377</v>
      </c>
      <c r="B174" s="52" t="s">
        <v>1292</v>
      </c>
      <c r="C174" s="52" t="s">
        <v>2776</v>
      </c>
      <c r="D174" s="53" t="s">
        <v>2777</v>
      </c>
      <c r="E174" s="54" t="s">
        <v>1293</v>
      </c>
      <c r="F174" s="54" t="s">
        <v>179</v>
      </c>
    </row>
    <row r="175" spans="1:6" ht="12" x14ac:dyDescent="0.2">
      <c r="A175" s="65">
        <v>5377</v>
      </c>
      <c r="B175" s="52" t="s">
        <v>1292</v>
      </c>
      <c r="C175" s="52" t="s">
        <v>2776</v>
      </c>
      <c r="D175" s="53" t="s">
        <v>2777</v>
      </c>
      <c r="E175" s="54" t="s">
        <v>1293</v>
      </c>
      <c r="F175" s="54" t="s">
        <v>179</v>
      </c>
    </row>
    <row r="176" spans="1:6" ht="12" x14ac:dyDescent="0.2">
      <c r="A176" s="65">
        <v>5391</v>
      </c>
      <c r="B176" s="52" t="s">
        <v>1027</v>
      </c>
      <c r="C176" s="52" t="s">
        <v>2778</v>
      </c>
      <c r="D176" s="53" t="s">
        <v>2779</v>
      </c>
      <c r="E176" s="54" t="s">
        <v>1027</v>
      </c>
      <c r="F176" s="54" t="s">
        <v>342</v>
      </c>
    </row>
    <row r="177" spans="1:6" ht="12" x14ac:dyDescent="0.2">
      <c r="A177" s="65">
        <v>5396</v>
      </c>
      <c r="B177" s="52" t="s">
        <v>1028</v>
      </c>
      <c r="C177" s="52" t="s">
        <v>2780</v>
      </c>
      <c r="D177" s="53" t="s">
        <v>2781</v>
      </c>
      <c r="E177" s="54" t="s">
        <v>1028</v>
      </c>
      <c r="F177" s="54" t="s">
        <v>35</v>
      </c>
    </row>
    <row r="178" spans="1:6" ht="12" x14ac:dyDescent="0.2">
      <c r="A178" s="65">
        <v>5397</v>
      </c>
      <c r="B178" s="52" t="s">
        <v>133</v>
      </c>
      <c r="C178" s="52" t="s">
        <v>2782</v>
      </c>
      <c r="D178" s="53" t="s">
        <v>2783</v>
      </c>
      <c r="E178" s="54" t="s">
        <v>133</v>
      </c>
      <c r="F178" s="54" t="s">
        <v>42</v>
      </c>
    </row>
    <row r="179" spans="1:6" ht="12" x14ac:dyDescent="0.2">
      <c r="A179" s="65">
        <v>5400</v>
      </c>
      <c r="B179" s="52" t="s">
        <v>432</v>
      </c>
      <c r="C179" s="52" t="s">
        <v>2784</v>
      </c>
      <c r="D179" s="53" t="s">
        <v>2785</v>
      </c>
      <c r="E179" s="54" t="s">
        <v>1294</v>
      </c>
      <c r="F179" s="54" t="s">
        <v>887</v>
      </c>
    </row>
    <row r="180" spans="1:6" ht="12" x14ac:dyDescent="0.2">
      <c r="A180" s="65">
        <v>5408</v>
      </c>
      <c r="B180" s="52" t="s">
        <v>1295</v>
      </c>
      <c r="C180" s="52" t="s">
        <v>2786</v>
      </c>
      <c r="D180" s="53" t="s">
        <v>2787</v>
      </c>
      <c r="E180" s="54" t="s">
        <v>1295</v>
      </c>
      <c r="F180" s="54" t="s">
        <v>171</v>
      </c>
    </row>
    <row r="181" spans="1:6" ht="12" x14ac:dyDescent="0.2">
      <c r="A181" s="65">
        <v>5419</v>
      </c>
      <c r="B181" s="52" t="s">
        <v>1029</v>
      </c>
      <c r="C181" s="52" t="s">
        <v>2788</v>
      </c>
      <c r="D181" s="53" t="s">
        <v>2789</v>
      </c>
      <c r="E181" s="54" t="s">
        <v>1029</v>
      </c>
      <c r="F181" s="54" t="s">
        <v>2505</v>
      </c>
    </row>
    <row r="182" spans="1:6" ht="12" x14ac:dyDescent="0.2">
      <c r="A182" s="65">
        <v>5421</v>
      </c>
      <c r="B182" s="52" t="s">
        <v>1030</v>
      </c>
      <c r="C182" s="52" t="s">
        <v>2790</v>
      </c>
      <c r="D182" s="53" t="s">
        <v>2791</v>
      </c>
      <c r="E182" s="54" t="s">
        <v>2792</v>
      </c>
      <c r="F182" s="54" t="s">
        <v>82</v>
      </c>
    </row>
    <row r="183" spans="1:6" ht="12" x14ac:dyDescent="0.2">
      <c r="A183" s="65">
        <v>5424</v>
      </c>
      <c r="B183" s="52" t="s">
        <v>1031</v>
      </c>
      <c r="C183" s="52" t="s">
        <v>2793</v>
      </c>
      <c r="D183" s="53" t="s">
        <v>2794</v>
      </c>
      <c r="E183" s="54" t="s">
        <v>48</v>
      </c>
      <c r="F183" s="54" t="s">
        <v>48</v>
      </c>
    </row>
    <row r="184" spans="1:6" ht="12" x14ac:dyDescent="0.2">
      <c r="A184" s="65">
        <v>5445</v>
      </c>
      <c r="B184" s="52" t="s">
        <v>1032</v>
      </c>
      <c r="C184" s="52" t="s">
        <v>2795</v>
      </c>
      <c r="D184" s="53" t="s">
        <v>2496</v>
      </c>
      <c r="E184" s="54" t="s">
        <v>108</v>
      </c>
      <c r="F184" s="54" t="s">
        <v>108</v>
      </c>
    </row>
    <row r="185" spans="1:6" ht="12" x14ac:dyDescent="0.2">
      <c r="A185" s="65">
        <v>5459</v>
      </c>
      <c r="B185" s="52" t="s">
        <v>1033</v>
      </c>
      <c r="C185" s="52" t="s">
        <v>2796</v>
      </c>
      <c r="D185" s="53" t="s">
        <v>2797</v>
      </c>
      <c r="E185" s="54" t="s">
        <v>887</v>
      </c>
      <c r="F185" s="54" t="s">
        <v>887</v>
      </c>
    </row>
    <row r="186" spans="1:6" ht="12" x14ac:dyDescent="0.2">
      <c r="A186" s="65">
        <v>5467</v>
      </c>
      <c r="B186" s="52" t="s">
        <v>2798</v>
      </c>
      <c r="C186" s="52" t="s">
        <v>2799</v>
      </c>
      <c r="D186" s="53" t="s">
        <v>2800</v>
      </c>
      <c r="E186" s="54" t="s">
        <v>134</v>
      </c>
      <c r="F186" s="54" t="s">
        <v>135</v>
      </c>
    </row>
    <row r="187" spans="1:6" ht="12" x14ac:dyDescent="0.2">
      <c r="A187" s="65">
        <v>5468</v>
      </c>
      <c r="B187" s="52" t="s">
        <v>2801</v>
      </c>
      <c r="C187" s="52" t="s">
        <v>2802</v>
      </c>
      <c r="D187" s="53" t="s">
        <v>2803</v>
      </c>
      <c r="E187" s="54" t="s">
        <v>2804</v>
      </c>
      <c r="F187" s="54" t="s">
        <v>135</v>
      </c>
    </row>
    <row r="188" spans="1:6" ht="12" x14ac:dyDescent="0.2">
      <c r="A188" s="65">
        <v>5470</v>
      </c>
      <c r="B188" s="52" t="s">
        <v>654</v>
      </c>
      <c r="C188" s="52" t="s">
        <v>2805</v>
      </c>
      <c r="D188" s="53" t="s">
        <v>2806</v>
      </c>
      <c r="E188" s="54" t="s">
        <v>654</v>
      </c>
      <c r="F188" s="54" t="s">
        <v>38</v>
      </c>
    </row>
    <row r="189" spans="1:6" ht="12" x14ac:dyDescent="0.2">
      <c r="A189" s="65">
        <v>5480</v>
      </c>
      <c r="B189" s="52" t="s">
        <v>2808</v>
      </c>
      <c r="C189" s="52" t="s">
        <v>2809</v>
      </c>
      <c r="D189" s="53" t="s">
        <v>2810</v>
      </c>
      <c r="E189" s="54" t="s">
        <v>551</v>
      </c>
      <c r="F189" s="54" t="s">
        <v>152</v>
      </c>
    </row>
    <row r="190" spans="1:6" ht="12" x14ac:dyDescent="0.2">
      <c r="A190" s="65">
        <v>5502</v>
      </c>
      <c r="B190" s="52" t="s">
        <v>1872</v>
      </c>
      <c r="C190" s="52" t="s">
        <v>2811</v>
      </c>
      <c r="D190" s="53" t="s">
        <v>2812</v>
      </c>
      <c r="E190" s="54" t="s">
        <v>576</v>
      </c>
      <c r="F190" s="54" t="s">
        <v>35</v>
      </c>
    </row>
    <row r="191" spans="1:6" ht="12" x14ac:dyDescent="0.2">
      <c r="A191" s="65">
        <v>5505</v>
      </c>
      <c r="B191" s="52" t="s">
        <v>1296</v>
      </c>
      <c r="C191" s="52" t="s">
        <v>2813</v>
      </c>
      <c r="D191" s="53" t="s">
        <v>2734</v>
      </c>
      <c r="E191" s="54" t="s">
        <v>339</v>
      </c>
      <c r="F191" s="54" t="s">
        <v>37</v>
      </c>
    </row>
    <row r="192" spans="1:6" ht="12" x14ac:dyDescent="0.2">
      <c r="A192" s="65">
        <v>5507</v>
      </c>
      <c r="B192" s="52" t="s">
        <v>1297</v>
      </c>
      <c r="C192" s="52" t="s">
        <v>2814</v>
      </c>
      <c r="D192" s="53" t="s">
        <v>2807</v>
      </c>
      <c r="E192" s="54" t="s">
        <v>1297</v>
      </c>
      <c r="F192" s="54" t="s">
        <v>177</v>
      </c>
    </row>
    <row r="193" spans="1:6" ht="12" x14ac:dyDescent="0.2">
      <c r="A193" s="65">
        <v>5515</v>
      </c>
      <c r="B193" s="52" t="s">
        <v>1035</v>
      </c>
      <c r="C193" s="52" t="s">
        <v>2815</v>
      </c>
      <c r="D193" s="53" t="s">
        <v>2816</v>
      </c>
      <c r="E193" s="54" t="s">
        <v>1035</v>
      </c>
      <c r="F193" s="54" t="s">
        <v>135</v>
      </c>
    </row>
    <row r="194" spans="1:6" ht="12" x14ac:dyDescent="0.2">
      <c r="A194" s="65">
        <v>5527</v>
      </c>
      <c r="B194" s="52" t="s">
        <v>1036</v>
      </c>
      <c r="C194" s="52" t="s">
        <v>2817</v>
      </c>
      <c r="D194" s="53" t="s">
        <v>2818</v>
      </c>
      <c r="E194" s="54" t="s">
        <v>82</v>
      </c>
      <c r="F194" s="54" t="s">
        <v>82</v>
      </c>
    </row>
    <row r="195" spans="1:6" ht="12" x14ac:dyDescent="0.2">
      <c r="A195" s="65">
        <v>5537</v>
      </c>
      <c r="B195" s="52" t="s">
        <v>136</v>
      </c>
      <c r="C195" s="52" t="s">
        <v>2819</v>
      </c>
      <c r="D195" s="53" t="s">
        <v>2820</v>
      </c>
      <c r="E195" s="54" t="s">
        <v>99</v>
      </c>
      <c r="F195" s="54" t="s">
        <v>99</v>
      </c>
    </row>
    <row r="196" spans="1:6" ht="12" x14ac:dyDescent="0.2">
      <c r="A196" s="65">
        <v>5544</v>
      </c>
      <c r="B196" s="52" t="s">
        <v>137</v>
      </c>
      <c r="C196" s="52" t="s">
        <v>2821</v>
      </c>
      <c r="D196" s="53" t="s">
        <v>2822</v>
      </c>
      <c r="E196" s="54" t="s">
        <v>138</v>
      </c>
      <c r="F196" s="54" t="s">
        <v>2505</v>
      </c>
    </row>
    <row r="197" spans="1:6" ht="12" x14ac:dyDescent="0.2">
      <c r="A197" s="65">
        <v>5550</v>
      </c>
      <c r="B197" s="52" t="s">
        <v>1037</v>
      </c>
      <c r="C197" s="52" t="s">
        <v>2823</v>
      </c>
      <c r="D197" s="53" t="s">
        <v>2824</v>
      </c>
      <c r="E197" s="54" t="s">
        <v>1037</v>
      </c>
      <c r="F197" s="54" t="s">
        <v>89</v>
      </c>
    </row>
    <row r="198" spans="1:6" ht="12" x14ac:dyDescent="0.2">
      <c r="A198" s="65">
        <v>5552</v>
      </c>
      <c r="B198" s="52" t="s">
        <v>1298</v>
      </c>
      <c r="C198" s="52" t="s">
        <v>2825</v>
      </c>
      <c r="D198" s="53" t="s">
        <v>2826</v>
      </c>
      <c r="E198" s="54" t="s">
        <v>1299</v>
      </c>
      <c r="F198" s="54" t="s">
        <v>89</v>
      </c>
    </row>
    <row r="199" spans="1:6" ht="12" x14ac:dyDescent="0.2">
      <c r="A199" s="65">
        <v>5558</v>
      </c>
      <c r="B199" s="52" t="s">
        <v>1038</v>
      </c>
      <c r="C199" s="52" t="s">
        <v>2827</v>
      </c>
      <c r="D199" s="53" t="s">
        <v>2828</v>
      </c>
      <c r="E199" s="54" t="s">
        <v>1039</v>
      </c>
      <c r="F199" s="54" t="s">
        <v>887</v>
      </c>
    </row>
    <row r="200" spans="1:6" ht="12" x14ac:dyDescent="0.2">
      <c r="A200" s="65">
        <v>5567</v>
      </c>
      <c r="B200" s="52" t="s">
        <v>1040</v>
      </c>
      <c r="C200" s="52" t="s">
        <v>2829</v>
      </c>
      <c r="D200" s="53" t="s">
        <v>2830</v>
      </c>
      <c r="E200" s="54" t="s">
        <v>2831</v>
      </c>
      <c r="F200" s="54" t="s">
        <v>82</v>
      </c>
    </row>
    <row r="201" spans="1:6" ht="12" x14ac:dyDescent="0.2">
      <c r="A201" s="65">
        <v>5571</v>
      </c>
      <c r="B201" s="52" t="s">
        <v>552</v>
      </c>
      <c r="C201" s="52" t="s">
        <v>2832</v>
      </c>
      <c r="D201" s="53" t="s">
        <v>2833</v>
      </c>
      <c r="E201" s="54" t="s">
        <v>553</v>
      </c>
      <c r="F201" s="54" t="s">
        <v>48</v>
      </c>
    </row>
    <row r="202" spans="1:6" ht="12" x14ac:dyDescent="0.2">
      <c r="A202" s="65">
        <v>5586</v>
      </c>
      <c r="B202" s="52" t="s">
        <v>1300</v>
      </c>
      <c r="C202" s="52" t="s">
        <v>2834</v>
      </c>
      <c r="D202" s="53" t="s">
        <v>2835</v>
      </c>
      <c r="E202" s="54" t="s">
        <v>1301</v>
      </c>
      <c r="F202" s="54" t="s">
        <v>342</v>
      </c>
    </row>
    <row r="203" spans="1:6" ht="12" x14ac:dyDescent="0.2">
      <c r="A203" s="65">
        <v>5588</v>
      </c>
      <c r="B203" s="52" t="s">
        <v>1302</v>
      </c>
      <c r="C203" s="52" t="s">
        <v>2836</v>
      </c>
      <c r="D203" s="53" t="s">
        <v>2837</v>
      </c>
      <c r="E203" s="54" t="s">
        <v>1303</v>
      </c>
      <c r="F203" s="54" t="s">
        <v>99</v>
      </c>
    </row>
    <row r="204" spans="1:6" ht="12" x14ac:dyDescent="0.2">
      <c r="A204" s="65">
        <v>5597</v>
      </c>
      <c r="B204" s="52" t="s">
        <v>1041</v>
      </c>
      <c r="C204" s="52" t="s">
        <v>2838</v>
      </c>
      <c r="D204" s="53" t="s">
        <v>2839</v>
      </c>
      <c r="E204" s="54" t="s">
        <v>2840</v>
      </c>
      <c r="F204" s="54" t="s">
        <v>2840</v>
      </c>
    </row>
    <row r="205" spans="1:6" ht="12" x14ac:dyDescent="0.2">
      <c r="A205" s="65">
        <v>5612</v>
      </c>
      <c r="B205" s="52" t="s">
        <v>139</v>
      </c>
      <c r="C205" s="52" t="s">
        <v>2841</v>
      </c>
      <c r="D205" s="53" t="s">
        <v>2842</v>
      </c>
      <c r="E205" s="54" t="s">
        <v>84</v>
      </c>
      <c r="F205" s="54" t="s">
        <v>84</v>
      </c>
    </row>
    <row r="206" spans="1:6" ht="12" x14ac:dyDescent="0.2">
      <c r="A206" s="65">
        <v>5613</v>
      </c>
      <c r="B206" s="52" t="s">
        <v>399</v>
      </c>
      <c r="C206" s="52" t="s">
        <v>2843</v>
      </c>
      <c r="D206" s="53" t="s">
        <v>2844</v>
      </c>
      <c r="E206" s="54" t="s">
        <v>405</v>
      </c>
      <c r="F206" s="54" t="s">
        <v>118</v>
      </c>
    </row>
    <row r="207" spans="1:6" ht="12" x14ac:dyDescent="0.2">
      <c r="A207" s="65">
        <v>5617</v>
      </c>
      <c r="B207" s="52" t="s">
        <v>1042</v>
      </c>
      <c r="C207" s="52" t="s">
        <v>2845</v>
      </c>
      <c r="D207" s="53" t="s">
        <v>2846</v>
      </c>
      <c r="E207" s="54" t="s">
        <v>1042</v>
      </c>
      <c r="F207" s="54" t="s">
        <v>174</v>
      </c>
    </row>
    <row r="208" spans="1:6" ht="12" x14ac:dyDescent="0.2">
      <c r="A208" s="65">
        <v>5625</v>
      </c>
      <c r="B208" s="52" t="s">
        <v>1203</v>
      </c>
      <c r="C208" s="52" t="s">
        <v>2847</v>
      </c>
      <c r="D208" s="53" t="s">
        <v>2848</v>
      </c>
      <c r="E208" s="54" t="s">
        <v>1203</v>
      </c>
      <c r="F208" s="54" t="s">
        <v>97</v>
      </c>
    </row>
    <row r="209" spans="1:6" ht="12" x14ac:dyDescent="0.2">
      <c r="A209" s="65">
        <v>5630</v>
      </c>
      <c r="B209" s="52" t="s">
        <v>1043</v>
      </c>
      <c r="C209" s="52" t="s">
        <v>2849</v>
      </c>
      <c r="D209" s="53" t="s">
        <v>2850</v>
      </c>
      <c r="E209" s="54" t="s">
        <v>1043</v>
      </c>
      <c r="F209" s="54" t="s">
        <v>38</v>
      </c>
    </row>
    <row r="210" spans="1:6" ht="12" x14ac:dyDescent="0.2">
      <c r="A210" s="65">
        <v>5630</v>
      </c>
      <c r="B210" s="52" t="s">
        <v>1043</v>
      </c>
      <c r="C210" s="52" t="s">
        <v>2849</v>
      </c>
      <c r="D210" s="53" t="s">
        <v>2850</v>
      </c>
      <c r="E210" s="54" t="s">
        <v>1043</v>
      </c>
      <c r="F210" s="54" t="s">
        <v>38</v>
      </c>
    </row>
    <row r="211" spans="1:6" ht="12" x14ac:dyDescent="0.2">
      <c r="A211" s="65">
        <v>5652</v>
      </c>
      <c r="B211" s="52" t="s">
        <v>2851</v>
      </c>
      <c r="C211" s="52" t="s">
        <v>2852</v>
      </c>
      <c r="D211" s="53" t="s">
        <v>2853</v>
      </c>
      <c r="E211" s="54" t="s">
        <v>1044</v>
      </c>
      <c r="F211" s="54" t="s">
        <v>42</v>
      </c>
    </row>
    <row r="212" spans="1:6" ht="12" x14ac:dyDescent="0.2">
      <c r="A212" s="65">
        <v>5652</v>
      </c>
      <c r="B212" s="52" t="s">
        <v>2851</v>
      </c>
      <c r="C212" s="52" t="s">
        <v>2852</v>
      </c>
      <c r="D212" s="53" t="s">
        <v>2853</v>
      </c>
      <c r="E212" s="54" t="s">
        <v>1044</v>
      </c>
      <c r="F212" s="54" t="s">
        <v>42</v>
      </c>
    </row>
    <row r="213" spans="1:6" ht="12" x14ac:dyDescent="0.2">
      <c r="A213" s="65">
        <v>5665</v>
      </c>
      <c r="B213" s="52" t="s">
        <v>1304</v>
      </c>
      <c r="C213" s="52" t="s">
        <v>2854</v>
      </c>
      <c r="D213" s="53" t="s">
        <v>2855</v>
      </c>
      <c r="E213" s="54" t="s">
        <v>1305</v>
      </c>
      <c r="F213" s="54" t="s">
        <v>63</v>
      </c>
    </row>
    <row r="214" spans="1:6" ht="12" x14ac:dyDescent="0.2">
      <c r="A214" s="65">
        <v>5684</v>
      </c>
      <c r="B214" s="52" t="s">
        <v>1306</v>
      </c>
      <c r="C214" s="52" t="s">
        <v>2856</v>
      </c>
      <c r="D214" s="53" t="s">
        <v>2857</v>
      </c>
      <c r="E214" s="54" t="s">
        <v>672</v>
      </c>
      <c r="F214" s="54" t="s">
        <v>158</v>
      </c>
    </row>
    <row r="215" spans="1:6" ht="12" x14ac:dyDescent="0.2">
      <c r="A215" s="65">
        <v>5714</v>
      </c>
      <c r="B215" s="52" t="s">
        <v>764</v>
      </c>
      <c r="C215" s="52" t="s">
        <v>2858</v>
      </c>
      <c r="D215" s="53" t="s">
        <v>2859</v>
      </c>
      <c r="E215" s="54" t="s">
        <v>1045</v>
      </c>
      <c r="F215" s="54" t="s">
        <v>108</v>
      </c>
    </row>
    <row r="216" spans="1:6" ht="12" x14ac:dyDescent="0.2">
      <c r="A216" s="65">
        <v>5719</v>
      </c>
      <c r="B216" s="52" t="s">
        <v>1046</v>
      </c>
      <c r="C216" s="52" t="s">
        <v>2860</v>
      </c>
      <c r="D216" s="53" t="s">
        <v>2861</v>
      </c>
      <c r="E216" s="54" t="s">
        <v>1047</v>
      </c>
      <c r="F216" s="54" t="s">
        <v>135</v>
      </c>
    </row>
    <row r="217" spans="1:6" ht="12" x14ac:dyDescent="0.2">
      <c r="A217" s="65">
        <v>5735</v>
      </c>
      <c r="B217" s="52" t="s">
        <v>1307</v>
      </c>
      <c r="C217" s="52" t="s">
        <v>2862</v>
      </c>
      <c r="D217" s="53" t="s">
        <v>2863</v>
      </c>
      <c r="E217" s="54" t="s">
        <v>1308</v>
      </c>
      <c r="F217" s="54" t="s">
        <v>2505</v>
      </c>
    </row>
    <row r="218" spans="1:6" ht="12" x14ac:dyDescent="0.2">
      <c r="A218" s="65">
        <v>5735</v>
      </c>
      <c r="B218" s="52" t="s">
        <v>1307</v>
      </c>
      <c r="C218" s="52" t="s">
        <v>2862</v>
      </c>
      <c r="D218" s="53" t="s">
        <v>2863</v>
      </c>
      <c r="E218" s="54" t="s">
        <v>1308</v>
      </c>
      <c r="F218" s="54" t="s">
        <v>2505</v>
      </c>
    </row>
    <row r="219" spans="1:6" ht="12" x14ac:dyDescent="0.2">
      <c r="A219" s="65">
        <v>5748</v>
      </c>
      <c r="B219" s="52" t="s">
        <v>1286</v>
      </c>
      <c r="C219" s="52" t="s">
        <v>2864</v>
      </c>
      <c r="D219" s="53" t="s">
        <v>2865</v>
      </c>
      <c r="E219" s="54" t="s">
        <v>2866</v>
      </c>
      <c r="F219" s="54" t="s">
        <v>253</v>
      </c>
    </row>
    <row r="220" spans="1:6" ht="12" x14ac:dyDescent="0.2">
      <c r="A220" s="65">
        <v>5752</v>
      </c>
      <c r="B220" s="52" t="s">
        <v>1309</v>
      </c>
      <c r="C220" s="52" t="s">
        <v>2867</v>
      </c>
      <c r="D220" s="53" t="s">
        <v>2868</v>
      </c>
      <c r="E220" s="54" t="s">
        <v>1310</v>
      </c>
      <c r="F220" s="54" t="s">
        <v>50</v>
      </c>
    </row>
    <row r="221" spans="1:6" ht="12" x14ac:dyDescent="0.2">
      <c r="A221" s="65">
        <v>5770</v>
      </c>
      <c r="B221" s="52" t="s">
        <v>1048</v>
      </c>
      <c r="C221" s="52" t="s">
        <v>2869</v>
      </c>
      <c r="D221" s="53" t="s">
        <v>2870</v>
      </c>
      <c r="E221" s="54" t="s">
        <v>1048</v>
      </c>
      <c r="F221" s="54" t="s">
        <v>378</v>
      </c>
    </row>
    <row r="222" spans="1:6" ht="12" x14ac:dyDescent="0.2">
      <c r="A222" s="65">
        <v>5770</v>
      </c>
      <c r="B222" s="52" t="s">
        <v>1048</v>
      </c>
      <c r="C222" s="52" t="s">
        <v>2869</v>
      </c>
      <c r="D222" s="53" t="s">
        <v>2870</v>
      </c>
      <c r="E222" s="54" t="s">
        <v>1048</v>
      </c>
      <c r="F222" s="54" t="s">
        <v>378</v>
      </c>
    </row>
    <row r="223" spans="1:6" ht="12" x14ac:dyDescent="0.2">
      <c r="A223" s="65">
        <v>5775</v>
      </c>
      <c r="B223" s="52" t="s">
        <v>1311</v>
      </c>
      <c r="C223" s="52" t="s">
        <v>2871</v>
      </c>
      <c r="D223" s="53" t="s">
        <v>2872</v>
      </c>
      <c r="E223" s="54" t="s">
        <v>1312</v>
      </c>
      <c r="F223" s="54" t="s">
        <v>152</v>
      </c>
    </row>
    <row r="224" spans="1:6" ht="12" x14ac:dyDescent="0.2">
      <c r="A224" s="65">
        <v>5780</v>
      </c>
      <c r="B224" s="52" t="s">
        <v>1313</v>
      </c>
      <c r="C224" s="52" t="s">
        <v>2873</v>
      </c>
      <c r="D224" s="53" t="s">
        <v>2874</v>
      </c>
      <c r="E224" s="54" t="s">
        <v>1314</v>
      </c>
      <c r="F224" s="54" t="s">
        <v>158</v>
      </c>
    </row>
    <row r="225" spans="1:6" ht="12" x14ac:dyDescent="0.2">
      <c r="A225" s="65">
        <v>5821</v>
      </c>
      <c r="B225" s="52" t="s">
        <v>1049</v>
      </c>
      <c r="C225" s="52" t="s">
        <v>2875</v>
      </c>
      <c r="D225" s="53" t="s">
        <v>2876</v>
      </c>
      <c r="E225" s="54" t="s">
        <v>1050</v>
      </c>
      <c r="F225" s="54" t="s">
        <v>123</v>
      </c>
    </row>
    <row r="226" spans="1:6" ht="12" x14ac:dyDescent="0.2">
      <c r="A226" s="65">
        <v>5840</v>
      </c>
      <c r="B226" s="52" t="s">
        <v>140</v>
      </c>
      <c r="C226" s="52" t="s">
        <v>2877</v>
      </c>
      <c r="D226" s="53" t="s">
        <v>2878</v>
      </c>
      <c r="E226" s="54" t="s">
        <v>141</v>
      </c>
      <c r="F226" s="54" t="s">
        <v>89</v>
      </c>
    </row>
    <row r="227" spans="1:6" ht="12" x14ac:dyDescent="0.2">
      <c r="A227" s="65">
        <v>5865</v>
      </c>
      <c r="B227" s="52" t="s">
        <v>1315</v>
      </c>
      <c r="C227" s="52" t="s">
        <v>2879</v>
      </c>
      <c r="D227" s="53" t="s">
        <v>2880</v>
      </c>
      <c r="E227" s="54" t="s">
        <v>1316</v>
      </c>
      <c r="F227" s="54" t="s">
        <v>2840</v>
      </c>
    </row>
    <row r="228" spans="1:6" ht="12" x14ac:dyDescent="0.2">
      <c r="A228" s="65">
        <v>5868</v>
      </c>
      <c r="B228" s="52" t="s">
        <v>1317</v>
      </c>
      <c r="C228" s="52" t="s">
        <v>2881</v>
      </c>
      <c r="D228" s="53" t="s">
        <v>2882</v>
      </c>
      <c r="E228" s="54" t="s">
        <v>1318</v>
      </c>
      <c r="F228" s="54" t="s">
        <v>152</v>
      </c>
    </row>
    <row r="229" spans="1:6" ht="12" x14ac:dyDescent="0.2">
      <c r="A229" s="65">
        <v>5887</v>
      </c>
      <c r="B229" s="52" t="s">
        <v>2883</v>
      </c>
      <c r="C229" s="52" t="s">
        <v>2884</v>
      </c>
      <c r="D229" s="53" t="s">
        <v>2885</v>
      </c>
      <c r="E229" s="54" t="s">
        <v>152</v>
      </c>
      <c r="F229" s="54" t="s">
        <v>152</v>
      </c>
    </row>
    <row r="230" spans="1:6" ht="12" x14ac:dyDescent="0.2">
      <c r="A230" s="65">
        <v>5900</v>
      </c>
      <c r="B230" s="52" t="s">
        <v>142</v>
      </c>
      <c r="C230" s="52" t="s">
        <v>2886</v>
      </c>
      <c r="D230" s="53" t="s">
        <v>2887</v>
      </c>
      <c r="E230" s="54" t="s">
        <v>143</v>
      </c>
      <c r="F230" s="54" t="s">
        <v>2505</v>
      </c>
    </row>
    <row r="231" spans="1:6" ht="12" x14ac:dyDescent="0.2">
      <c r="A231" s="65">
        <v>5909</v>
      </c>
      <c r="B231" s="52" t="s">
        <v>1051</v>
      </c>
      <c r="C231" s="52" t="s">
        <v>2888</v>
      </c>
      <c r="D231" s="53" t="s">
        <v>2889</v>
      </c>
      <c r="E231" s="54" t="s">
        <v>1052</v>
      </c>
      <c r="F231" s="54" t="s">
        <v>97</v>
      </c>
    </row>
    <row r="232" spans="1:6" ht="12" x14ac:dyDescent="0.2">
      <c r="A232" s="65">
        <v>5938</v>
      </c>
      <c r="B232" s="52" t="s">
        <v>144</v>
      </c>
      <c r="C232" s="52" t="s">
        <v>2890</v>
      </c>
      <c r="D232" s="53" t="s">
        <v>2891</v>
      </c>
      <c r="E232" s="54" t="s">
        <v>2892</v>
      </c>
      <c r="F232" s="54" t="s">
        <v>145</v>
      </c>
    </row>
    <row r="233" spans="1:6" ht="12" x14ac:dyDescent="0.2">
      <c r="A233" s="65">
        <v>5960</v>
      </c>
      <c r="B233" s="52" t="s">
        <v>146</v>
      </c>
      <c r="C233" s="52" t="s">
        <v>2893</v>
      </c>
      <c r="D233" s="53" t="s">
        <v>2521</v>
      </c>
      <c r="E233" s="54" t="s">
        <v>147</v>
      </c>
      <c r="F233" s="54" t="s">
        <v>145</v>
      </c>
    </row>
    <row r="234" spans="1:6" ht="12" x14ac:dyDescent="0.2">
      <c r="A234" s="65">
        <v>5969</v>
      </c>
      <c r="B234" s="52" t="s">
        <v>2894</v>
      </c>
      <c r="C234" s="52" t="s">
        <v>2895</v>
      </c>
      <c r="D234" s="53" t="s">
        <v>2896</v>
      </c>
      <c r="E234" s="54" t="s">
        <v>2109</v>
      </c>
      <c r="F234" s="54" t="s">
        <v>152</v>
      </c>
    </row>
    <row r="235" spans="1:6" ht="12" x14ac:dyDescent="0.2">
      <c r="A235" s="65">
        <v>5972</v>
      </c>
      <c r="B235" s="52" t="s">
        <v>431</v>
      </c>
      <c r="C235" s="52" t="s">
        <v>2897</v>
      </c>
      <c r="D235" s="53" t="s">
        <v>2898</v>
      </c>
      <c r="E235" s="54" t="s">
        <v>2899</v>
      </c>
      <c r="F235" s="54" t="s">
        <v>174</v>
      </c>
    </row>
    <row r="236" spans="1:6" ht="12" x14ac:dyDescent="0.2">
      <c r="A236" s="65">
        <v>5977</v>
      </c>
      <c r="B236" s="52" t="s">
        <v>148</v>
      </c>
      <c r="C236" s="52" t="s">
        <v>2900</v>
      </c>
      <c r="D236" s="53" t="s">
        <v>2901</v>
      </c>
      <c r="E236" s="54" t="s">
        <v>149</v>
      </c>
      <c r="F236" s="54" t="s">
        <v>149</v>
      </c>
    </row>
    <row r="237" spans="1:6" ht="12" x14ac:dyDescent="0.2">
      <c r="A237" s="65">
        <v>5982</v>
      </c>
      <c r="B237" s="52" t="s">
        <v>1319</v>
      </c>
      <c r="C237" s="52" t="s">
        <v>1320</v>
      </c>
      <c r="D237" s="53" t="s">
        <v>2902</v>
      </c>
      <c r="E237" s="54" t="s">
        <v>1321</v>
      </c>
      <c r="F237" s="54" t="s">
        <v>158</v>
      </c>
    </row>
    <row r="238" spans="1:6" ht="12" x14ac:dyDescent="0.2">
      <c r="A238" s="65">
        <v>5998</v>
      </c>
      <c r="B238" s="52" t="s">
        <v>2039</v>
      </c>
      <c r="C238" s="52" t="s">
        <v>2903</v>
      </c>
      <c r="D238" s="53" t="s">
        <v>2904</v>
      </c>
      <c r="E238" s="54" t="s">
        <v>2040</v>
      </c>
      <c r="F238" s="54" t="s">
        <v>145</v>
      </c>
    </row>
    <row r="239" spans="1:6" ht="12" x14ac:dyDescent="0.2">
      <c r="A239" s="65">
        <v>6143</v>
      </c>
      <c r="B239" s="52" t="s">
        <v>554</v>
      </c>
      <c r="C239" s="52" t="s">
        <v>555</v>
      </c>
      <c r="D239" s="53" t="s">
        <v>2905</v>
      </c>
      <c r="E239" s="54" t="s">
        <v>556</v>
      </c>
      <c r="F239" s="54" t="s">
        <v>171</v>
      </c>
    </row>
    <row r="240" spans="1:6" ht="12" x14ac:dyDescent="0.2">
      <c r="A240" s="65">
        <v>6216</v>
      </c>
      <c r="B240" s="52" t="s">
        <v>416</v>
      </c>
      <c r="C240" s="52" t="s">
        <v>557</v>
      </c>
      <c r="D240" s="53" t="s">
        <v>2906</v>
      </c>
      <c r="E240" s="54" t="s">
        <v>320</v>
      </c>
      <c r="F240" s="54" t="s">
        <v>84</v>
      </c>
    </row>
    <row r="241" spans="1:6" ht="12" x14ac:dyDescent="0.2">
      <c r="A241" s="65">
        <v>6279</v>
      </c>
      <c r="B241" s="52" t="s">
        <v>558</v>
      </c>
      <c r="C241" s="52" t="s">
        <v>2907</v>
      </c>
      <c r="D241" s="53" t="s">
        <v>2908</v>
      </c>
      <c r="E241" s="54" t="s">
        <v>558</v>
      </c>
      <c r="F241" s="54" t="s">
        <v>123</v>
      </c>
    </row>
    <row r="242" spans="1:6" ht="12" x14ac:dyDescent="0.2">
      <c r="A242" s="65">
        <v>6424</v>
      </c>
      <c r="B242" s="52" t="s">
        <v>1959</v>
      </c>
      <c r="C242" s="52" t="s">
        <v>2767</v>
      </c>
      <c r="D242" s="53" t="s">
        <v>2768</v>
      </c>
      <c r="E242" s="54" t="s">
        <v>308</v>
      </c>
      <c r="F242" s="54" t="s">
        <v>48</v>
      </c>
    </row>
    <row r="243" spans="1:6" ht="12" x14ac:dyDescent="0.2">
      <c r="A243" s="65">
        <v>6436</v>
      </c>
      <c r="B243" s="52" t="s">
        <v>150</v>
      </c>
      <c r="C243" s="52" t="s">
        <v>2909</v>
      </c>
      <c r="D243" s="53" t="s">
        <v>2910</v>
      </c>
      <c r="E243" s="54" t="s">
        <v>151</v>
      </c>
      <c r="F243" s="54" t="s">
        <v>152</v>
      </c>
    </row>
    <row r="244" spans="1:6" ht="12" x14ac:dyDescent="0.2">
      <c r="A244" s="65">
        <v>6469</v>
      </c>
      <c r="B244" s="52" t="s">
        <v>2911</v>
      </c>
      <c r="C244" s="52" t="s">
        <v>2912</v>
      </c>
      <c r="D244" s="53" t="s">
        <v>2913</v>
      </c>
      <c r="E244" s="54" t="s">
        <v>2914</v>
      </c>
      <c r="F244" s="54" t="s">
        <v>116</v>
      </c>
    </row>
    <row r="245" spans="1:6" ht="12" x14ac:dyDescent="0.2">
      <c r="A245" s="65">
        <v>7007</v>
      </c>
      <c r="B245" s="52" t="s">
        <v>1322</v>
      </c>
      <c r="C245" s="52" t="s">
        <v>2915</v>
      </c>
      <c r="D245" s="53" t="s">
        <v>2916</v>
      </c>
      <c r="E245" s="54" t="s">
        <v>1322</v>
      </c>
      <c r="F245" s="54" t="s">
        <v>207</v>
      </c>
    </row>
    <row r="246" spans="1:6" ht="12" x14ac:dyDescent="0.2">
      <c r="A246" s="65">
        <v>7021</v>
      </c>
      <c r="B246" s="52" t="s">
        <v>2082</v>
      </c>
      <c r="C246" s="52" t="s">
        <v>2917</v>
      </c>
      <c r="D246" s="53" t="s">
        <v>2918</v>
      </c>
      <c r="E246" s="54" t="s">
        <v>2082</v>
      </c>
      <c r="F246" s="54" t="s">
        <v>123</v>
      </c>
    </row>
    <row r="247" spans="1:6" ht="12" x14ac:dyDescent="0.2">
      <c r="A247" s="65">
        <v>7023</v>
      </c>
      <c r="B247" s="52" t="s">
        <v>153</v>
      </c>
      <c r="C247" s="52" t="s">
        <v>2919</v>
      </c>
      <c r="D247" s="53" t="s">
        <v>2920</v>
      </c>
      <c r="E247" s="54" t="s">
        <v>153</v>
      </c>
      <c r="F247" s="54" t="s">
        <v>154</v>
      </c>
    </row>
    <row r="248" spans="1:6" ht="12" x14ac:dyDescent="0.2">
      <c r="A248" s="65">
        <v>7024</v>
      </c>
      <c r="B248" s="52" t="s">
        <v>155</v>
      </c>
      <c r="C248" s="52" t="s">
        <v>2921</v>
      </c>
      <c r="D248" s="53" t="s">
        <v>2721</v>
      </c>
      <c r="E248" s="54" t="s">
        <v>156</v>
      </c>
      <c r="F248" s="54" t="s">
        <v>118</v>
      </c>
    </row>
    <row r="249" spans="1:6" ht="12" x14ac:dyDescent="0.2">
      <c r="A249" s="65">
        <v>7025</v>
      </c>
      <c r="B249" s="52" t="s">
        <v>1053</v>
      </c>
      <c r="C249" s="52" t="s">
        <v>2922</v>
      </c>
      <c r="D249" s="53" t="s">
        <v>2923</v>
      </c>
      <c r="E249" s="54" t="s">
        <v>2924</v>
      </c>
      <c r="F249" s="54" t="s">
        <v>2553</v>
      </c>
    </row>
    <row r="250" spans="1:6" ht="12" x14ac:dyDescent="0.2">
      <c r="A250" s="65">
        <v>7046</v>
      </c>
      <c r="B250" s="52" t="s">
        <v>2925</v>
      </c>
      <c r="C250" s="52" t="s">
        <v>1323</v>
      </c>
      <c r="D250" s="53" t="s">
        <v>2902</v>
      </c>
      <c r="E250" s="54" t="s">
        <v>1321</v>
      </c>
      <c r="F250" s="54" t="s">
        <v>158</v>
      </c>
    </row>
    <row r="251" spans="1:6" ht="12" x14ac:dyDescent="0.2">
      <c r="A251" s="65">
        <v>7049</v>
      </c>
      <c r="B251" s="52" t="s">
        <v>1921</v>
      </c>
      <c r="C251" s="52" t="s">
        <v>2926</v>
      </c>
      <c r="D251" s="53" t="s">
        <v>2927</v>
      </c>
      <c r="E251" s="54" t="s">
        <v>748</v>
      </c>
      <c r="F251" s="54" t="s">
        <v>116</v>
      </c>
    </row>
    <row r="252" spans="1:6" ht="12" x14ac:dyDescent="0.2">
      <c r="A252" s="65">
        <v>7052</v>
      </c>
      <c r="B252" s="52" t="s">
        <v>2928</v>
      </c>
      <c r="C252" s="52" t="s">
        <v>2929</v>
      </c>
      <c r="D252" s="53" t="s">
        <v>2930</v>
      </c>
      <c r="E252" s="54" t="s">
        <v>1429</v>
      </c>
      <c r="F252" s="54" t="s">
        <v>174</v>
      </c>
    </row>
    <row r="253" spans="1:6" ht="12" x14ac:dyDescent="0.2">
      <c r="A253" s="65">
        <v>7055</v>
      </c>
      <c r="B253" s="52" t="s">
        <v>1054</v>
      </c>
      <c r="C253" s="52" t="s">
        <v>2931</v>
      </c>
      <c r="D253" s="53" t="s">
        <v>2901</v>
      </c>
      <c r="E253" s="54" t="s">
        <v>149</v>
      </c>
      <c r="F253" s="54" t="s">
        <v>149</v>
      </c>
    </row>
    <row r="254" spans="1:6" ht="12" x14ac:dyDescent="0.2">
      <c r="A254" s="65">
        <v>7060</v>
      </c>
      <c r="B254" s="52" t="s">
        <v>1055</v>
      </c>
      <c r="C254" s="52" t="s">
        <v>2932</v>
      </c>
      <c r="D254" s="53" t="s">
        <v>2933</v>
      </c>
      <c r="E254" s="54" t="s">
        <v>1056</v>
      </c>
      <c r="F254" s="54" t="s">
        <v>37</v>
      </c>
    </row>
    <row r="255" spans="1:6" ht="12" x14ac:dyDescent="0.2">
      <c r="A255" s="65">
        <v>7064</v>
      </c>
      <c r="B255" s="52" t="s">
        <v>1324</v>
      </c>
      <c r="C255" s="52" t="s">
        <v>1325</v>
      </c>
      <c r="D255" s="53" t="s">
        <v>2737</v>
      </c>
      <c r="E255" s="54" t="s">
        <v>84</v>
      </c>
      <c r="F255" s="54" t="s">
        <v>84</v>
      </c>
    </row>
    <row r="256" spans="1:6" ht="12" x14ac:dyDescent="0.2">
      <c r="A256" s="65">
        <v>7076</v>
      </c>
      <c r="B256" s="52" t="s">
        <v>2934</v>
      </c>
      <c r="C256" s="52" t="s">
        <v>2935</v>
      </c>
      <c r="D256" s="53" t="s">
        <v>2936</v>
      </c>
      <c r="E256" s="54" t="s">
        <v>1057</v>
      </c>
      <c r="F256" s="54" t="s">
        <v>887</v>
      </c>
    </row>
    <row r="257" spans="1:6" ht="12" x14ac:dyDescent="0.2">
      <c r="A257" s="65">
        <v>7077</v>
      </c>
      <c r="B257" s="52" t="s">
        <v>689</v>
      </c>
      <c r="C257" s="52" t="s">
        <v>2937</v>
      </c>
      <c r="D257" s="53" t="s">
        <v>2938</v>
      </c>
      <c r="E257" s="54" t="s">
        <v>689</v>
      </c>
      <c r="F257" s="54" t="s">
        <v>97</v>
      </c>
    </row>
    <row r="258" spans="1:6" ht="12" x14ac:dyDescent="0.2">
      <c r="A258" s="65">
        <v>7081</v>
      </c>
      <c r="B258" s="52" t="s">
        <v>1326</v>
      </c>
      <c r="C258" s="52" t="s">
        <v>2939</v>
      </c>
      <c r="D258" s="53" t="s">
        <v>2940</v>
      </c>
      <c r="E258" s="54" t="s">
        <v>1326</v>
      </c>
      <c r="F258" s="54" t="s">
        <v>112</v>
      </c>
    </row>
    <row r="259" spans="1:6" ht="12" x14ac:dyDescent="0.2">
      <c r="A259" s="65">
        <v>7092</v>
      </c>
      <c r="B259" s="52" t="s">
        <v>448</v>
      </c>
      <c r="C259" s="52" t="s">
        <v>2941</v>
      </c>
      <c r="D259" s="53" t="s">
        <v>2942</v>
      </c>
      <c r="E259" s="54" t="s">
        <v>1328</v>
      </c>
      <c r="F259" s="54" t="s">
        <v>179</v>
      </c>
    </row>
    <row r="260" spans="1:6" ht="12" x14ac:dyDescent="0.2">
      <c r="A260" s="65">
        <v>7104</v>
      </c>
      <c r="B260" s="52" t="s">
        <v>1873</v>
      </c>
      <c r="C260" s="52" t="s">
        <v>2943</v>
      </c>
      <c r="D260" s="53" t="s">
        <v>2944</v>
      </c>
      <c r="E260" s="54" t="s">
        <v>375</v>
      </c>
      <c r="F260" s="54" t="s">
        <v>84</v>
      </c>
    </row>
    <row r="261" spans="1:6" ht="12" x14ac:dyDescent="0.2">
      <c r="A261" s="65">
        <v>7125</v>
      </c>
      <c r="B261" s="52" t="s">
        <v>1058</v>
      </c>
      <c r="C261" s="52" t="s">
        <v>2945</v>
      </c>
      <c r="D261" s="53" t="s">
        <v>2946</v>
      </c>
      <c r="E261" s="54" t="s">
        <v>1058</v>
      </c>
      <c r="F261" s="54" t="s">
        <v>97</v>
      </c>
    </row>
    <row r="262" spans="1:6" ht="12" x14ac:dyDescent="0.2">
      <c r="A262" s="65">
        <v>7152</v>
      </c>
      <c r="B262" s="52" t="s">
        <v>1059</v>
      </c>
      <c r="C262" s="52" t="s">
        <v>2947</v>
      </c>
      <c r="D262" s="53" t="s">
        <v>2948</v>
      </c>
      <c r="E262" s="54" t="s">
        <v>1059</v>
      </c>
      <c r="F262" s="54" t="s">
        <v>2553</v>
      </c>
    </row>
    <row r="263" spans="1:6" ht="12" x14ac:dyDescent="0.2">
      <c r="A263" s="65">
        <v>7166</v>
      </c>
      <c r="B263" s="52" t="s">
        <v>2949</v>
      </c>
      <c r="C263" s="52" t="s">
        <v>2950</v>
      </c>
      <c r="D263" s="53" t="s">
        <v>2951</v>
      </c>
      <c r="E263" s="54" t="s">
        <v>2949</v>
      </c>
      <c r="F263" s="54" t="s">
        <v>82</v>
      </c>
    </row>
    <row r="264" spans="1:6" ht="12" x14ac:dyDescent="0.2">
      <c r="A264" s="65">
        <v>7185</v>
      </c>
      <c r="B264" s="52" t="s">
        <v>2952</v>
      </c>
      <c r="C264" s="52" t="s">
        <v>2953</v>
      </c>
      <c r="D264" s="53" t="s">
        <v>2502</v>
      </c>
      <c r="E264" s="54" t="s">
        <v>157</v>
      </c>
      <c r="F264" s="54" t="s">
        <v>158</v>
      </c>
    </row>
    <row r="265" spans="1:6" ht="12" x14ac:dyDescent="0.2">
      <c r="A265" s="65">
        <v>7187</v>
      </c>
      <c r="B265" s="52" t="s">
        <v>1329</v>
      </c>
      <c r="C265" s="52" t="s">
        <v>2954</v>
      </c>
      <c r="D265" s="53" t="s">
        <v>2955</v>
      </c>
      <c r="E265" s="54" t="s">
        <v>1330</v>
      </c>
      <c r="F265" s="54" t="s">
        <v>112</v>
      </c>
    </row>
    <row r="266" spans="1:6" ht="12" x14ac:dyDescent="0.2">
      <c r="A266" s="65">
        <v>7196</v>
      </c>
      <c r="B266" s="52" t="s">
        <v>1060</v>
      </c>
      <c r="C266" s="52" t="s">
        <v>2956</v>
      </c>
      <c r="D266" s="53" t="s">
        <v>2957</v>
      </c>
      <c r="E266" s="54" t="s">
        <v>1061</v>
      </c>
      <c r="F266" s="54" t="s">
        <v>174</v>
      </c>
    </row>
    <row r="267" spans="1:6" ht="12" x14ac:dyDescent="0.2">
      <c r="A267" s="65">
        <v>7204</v>
      </c>
      <c r="B267" s="52" t="s">
        <v>1062</v>
      </c>
      <c r="C267" s="52" t="s">
        <v>2958</v>
      </c>
      <c r="D267" s="53" t="s">
        <v>2959</v>
      </c>
      <c r="E267" s="54" t="s">
        <v>1063</v>
      </c>
      <c r="F267" s="54" t="s">
        <v>112</v>
      </c>
    </row>
    <row r="268" spans="1:6" ht="12" x14ac:dyDescent="0.2">
      <c r="A268" s="65">
        <v>7210</v>
      </c>
      <c r="B268" s="52" t="s">
        <v>1331</v>
      </c>
      <c r="C268" s="52" t="s">
        <v>1332</v>
      </c>
      <c r="D268" s="53" t="s">
        <v>2960</v>
      </c>
      <c r="E268" s="54" t="s">
        <v>82</v>
      </c>
      <c r="F268" s="54" t="s">
        <v>82</v>
      </c>
    </row>
    <row r="269" spans="1:6" ht="12" x14ac:dyDescent="0.2">
      <c r="A269" s="65">
        <v>7212</v>
      </c>
      <c r="B269" s="52" t="s">
        <v>159</v>
      </c>
      <c r="C269" s="52" t="s">
        <v>2961</v>
      </c>
      <c r="D269" s="53" t="s">
        <v>2962</v>
      </c>
      <c r="E269" s="54" t="s">
        <v>160</v>
      </c>
      <c r="F269" s="54" t="s">
        <v>89</v>
      </c>
    </row>
    <row r="270" spans="1:6" ht="12" x14ac:dyDescent="0.2">
      <c r="A270" s="65">
        <v>7252</v>
      </c>
      <c r="B270" s="52" t="s">
        <v>1064</v>
      </c>
      <c r="C270" s="52" t="s">
        <v>2963</v>
      </c>
      <c r="D270" s="53" t="s">
        <v>2964</v>
      </c>
      <c r="E270" s="54" t="s">
        <v>1064</v>
      </c>
      <c r="F270" s="54" t="s">
        <v>174</v>
      </c>
    </row>
    <row r="271" spans="1:6" ht="12" x14ac:dyDescent="0.2">
      <c r="A271" s="65">
        <v>7303</v>
      </c>
      <c r="B271" s="52" t="s">
        <v>1334</v>
      </c>
      <c r="C271" s="52" t="s">
        <v>2965</v>
      </c>
      <c r="D271" s="53" t="s">
        <v>2966</v>
      </c>
      <c r="E271" s="54" t="s">
        <v>36</v>
      </c>
      <c r="F271" s="54" t="s">
        <v>36</v>
      </c>
    </row>
    <row r="272" spans="1:6" ht="12" x14ac:dyDescent="0.2">
      <c r="A272" s="65">
        <v>7313</v>
      </c>
      <c r="B272" s="52" t="s">
        <v>1335</v>
      </c>
      <c r="C272" s="52" t="s">
        <v>2967</v>
      </c>
      <c r="D272" s="53" t="s">
        <v>2968</v>
      </c>
      <c r="E272" s="54" t="s">
        <v>996</v>
      </c>
      <c r="F272" s="54" t="s">
        <v>65</v>
      </c>
    </row>
    <row r="273" spans="1:6" ht="12" x14ac:dyDescent="0.2">
      <c r="A273" s="65">
        <v>7339</v>
      </c>
      <c r="B273" s="52" t="s">
        <v>1336</v>
      </c>
      <c r="C273" s="52" t="s">
        <v>2969</v>
      </c>
      <c r="D273" s="53" t="s">
        <v>2970</v>
      </c>
      <c r="E273" s="54" t="s">
        <v>1336</v>
      </c>
      <c r="F273" s="54" t="s">
        <v>108</v>
      </c>
    </row>
    <row r="274" spans="1:6" ht="12" x14ac:dyDescent="0.2">
      <c r="A274" s="65">
        <v>7341</v>
      </c>
      <c r="B274" s="52" t="s">
        <v>161</v>
      </c>
      <c r="C274" s="52" t="s">
        <v>2971</v>
      </c>
      <c r="D274" s="53" t="s">
        <v>2972</v>
      </c>
      <c r="E274" s="54" t="s">
        <v>2973</v>
      </c>
      <c r="F274" s="54" t="s">
        <v>82</v>
      </c>
    </row>
    <row r="275" spans="1:6" ht="12" x14ac:dyDescent="0.2">
      <c r="A275" s="65">
        <v>7347</v>
      </c>
      <c r="B275" s="52" t="s">
        <v>1337</v>
      </c>
      <c r="C275" s="52" t="s">
        <v>2974</v>
      </c>
      <c r="D275" s="53" t="s">
        <v>2975</v>
      </c>
      <c r="E275" s="54" t="s">
        <v>1338</v>
      </c>
      <c r="F275" s="54" t="s">
        <v>342</v>
      </c>
    </row>
    <row r="276" spans="1:6" ht="12" x14ac:dyDescent="0.2">
      <c r="A276" s="65">
        <v>7353</v>
      </c>
      <c r="B276" s="52" t="s">
        <v>1467</v>
      </c>
      <c r="C276" s="52" t="s">
        <v>2976</v>
      </c>
      <c r="D276" s="53" t="s">
        <v>2977</v>
      </c>
      <c r="E276" s="54" t="s">
        <v>1467</v>
      </c>
      <c r="F276" s="54" t="s">
        <v>285</v>
      </c>
    </row>
    <row r="277" spans="1:6" ht="12" x14ac:dyDescent="0.2">
      <c r="A277" s="65">
        <v>7363</v>
      </c>
      <c r="B277" s="52" t="s">
        <v>2978</v>
      </c>
      <c r="C277" s="52" t="s">
        <v>2979</v>
      </c>
      <c r="D277" s="53" t="s">
        <v>2980</v>
      </c>
      <c r="E277" s="54" t="s">
        <v>2981</v>
      </c>
      <c r="F277" s="54" t="s">
        <v>342</v>
      </c>
    </row>
    <row r="278" spans="1:6" ht="12" x14ac:dyDescent="0.2">
      <c r="A278" s="65">
        <v>7363</v>
      </c>
      <c r="B278" s="52" t="s">
        <v>2978</v>
      </c>
      <c r="C278" s="52" t="s">
        <v>2979</v>
      </c>
      <c r="D278" s="53" t="s">
        <v>2980</v>
      </c>
      <c r="E278" s="54" t="s">
        <v>2981</v>
      </c>
      <c r="F278" s="54" t="s">
        <v>342</v>
      </c>
    </row>
    <row r="279" spans="1:6" ht="12" x14ac:dyDescent="0.2">
      <c r="A279" s="65">
        <v>7375</v>
      </c>
      <c r="B279" s="52" t="s">
        <v>1055</v>
      </c>
      <c r="C279" s="52" t="s">
        <v>2982</v>
      </c>
      <c r="D279" s="53" t="s">
        <v>2983</v>
      </c>
      <c r="E279" s="54" t="s">
        <v>1339</v>
      </c>
      <c r="F279" s="54" t="s">
        <v>116</v>
      </c>
    </row>
    <row r="280" spans="1:6" ht="12" x14ac:dyDescent="0.2">
      <c r="A280" s="65">
        <v>7382</v>
      </c>
      <c r="B280" s="52" t="s">
        <v>1065</v>
      </c>
      <c r="C280" s="52" t="s">
        <v>2984</v>
      </c>
      <c r="D280" s="53" t="s">
        <v>2985</v>
      </c>
      <c r="E280" s="54" t="s">
        <v>41</v>
      </c>
      <c r="F280" s="54" t="s">
        <v>116</v>
      </c>
    </row>
    <row r="281" spans="1:6" ht="12" x14ac:dyDescent="0.2">
      <c r="A281" s="65">
        <v>7386</v>
      </c>
      <c r="B281" s="52" t="s">
        <v>805</v>
      </c>
      <c r="C281" s="52" t="s">
        <v>2986</v>
      </c>
      <c r="D281" s="53" t="s">
        <v>2987</v>
      </c>
      <c r="E281" s="54" t="s">
        <v>1340</v>
      </c>
      <c r="F281" s="54" t="s">
        <v>118</v>
      </c>
    </row>
    <row r="282" spans="1:6" ht="12" x14ac:dyDescent="0.2">
      <c r="A282" s="65">
        <v>7405</v>
      </c>
      <c r="B282" s="52" t="s">
        <v>2988</v>
      </c>
      <c r="C282" s="52" t="s">
        <v>559</v>
      </c>
      <c r="D282" s="53" t="s">
        <v>2989</v>
      </c>
      <c r="E282" s="54" t="s">
        <v>84</v>
      </c>
      <c r="F282" s="54" t="s">
        <v>84</v>
      </c>
    </row>
    <row r="283" spans="1:6" ht="12" x14ac:dyDescent="0.2">
      <c r="A283" s="65">
        <v>7408</v>
      </c>
      <c r="B283" s="52" t="s">
        <v>514</v>
      </c>
      <c r="C283" s="52" t="s">
        <v>2990</v>
      </c>
      <c r="D283" s="53" t="s">
        <v>2844</v>
      </c>
      <c r="E283" s="54" t="s">
        <v>405</v>
      </c>
      <c r="F283" s="54" t="s">
        <v>118</v>
      </c>
    </row>
    <row r="284" spans="1:6" ht="12" x14ac:dyDescent="0.2">
      <c r="A284" s="65">
        <v>7410</v>
      </c>
      <c r="B284" s="52" t="s">
        <v>1341</v>
      </c>
      <c r="C284" s="52" t="s">
        <v>2991</v>
      </c>
      <c r="D284" s="53" t="s">
        <v>2992</v>
      </c>
      <c r="E284" s="54" t="s">
        <v>1342</v>
      </c>
      <c r="F284" s="54" t="s">
        <v>171</v>
      </c>
    </row>
    <row r="285" spans="1:6" ht="12" x14ac:dyDescent="0.2">
      <c r="A285" s="65">
        <v>7411</v>
      </c>
      <c r="B285" s="52" t="s">
        <v>1066</v>
      </c>
      <c r="C285" s="52" t="s">
        <v>2993</v>
      </c>
      <c r="D285" s="53" t="s">
        <v>2994</v>
      </c>
      <c r="E285" s="54" t="s">
        <v>1066</v>
      </c>
      <c r="F285" s="54" t="s">
        <v>65</v>
      </c>
    </row>
    <row r="286" spans="1:6" ht="12" x14ac:dyDescent="0.2">
      <c r="A286" s="65">
        <v>7414</v>
      </c>
      <c r="B286" s="52" t="s">
        <v>162</v>
      </c>
      <c r="C286" s="52" t="s">
        <v>2995</v>
      </c>
      <c r="D286" s="53" t="s">
        <v>2996</v>
      </c>
      <c r="E286" s="54" t="s">
        <v>162</v>
      </c>
      <c r="F286" s="54" t="s">
        <v>112</v>
      </c>
    </row>
    <row r="287" spans="1:6" ht="12" x14ac:dyDescent="0.2">
      <c r="A287" s="65">
        <v>7421</v>
      </c>
      <c r="B287" s="52" t="s">
        <v>1343</v>
      </c>
      <c r="C287" s="52" t="s">
        <v>2997</v>
      </c>
      <c r="D287" s="53" t="s">
        <v>2998</v>
      </c>
      <c r="E287" s="54" t="s">
        <v>1343</v>
      </c>
      <c r="F287" s="54" t="s">
        <v>112</v>
      </c>
    </row>
    <row r="288" spans="1:6" ht="12" x14ac:dyDescent="0.2">
      <c r="A288" s="65">
        <v>7422</v>
      </c>
      <c r="B288" s="52" t="s">
        <v>1067</v>
      </c>
      <c r="C288" s="52" t="s">
        <v>2999</v>
      </c>
      <c r="D288" s="53" t="s">
        <v>2647</v>
      </c>
      <c r="E288" s="54" t="s">
        <v>2648</v>
      </c>
      <c r="F288" s="54" t="s">
        <v>82</v>
      </c>
    </row>
    <row r="289" spans="1:6" ht="12" x14ac:dyDescent="0.2">
      <c r="A289" s="65">
        <v>7443</v>
      </c>
      <c r="B289" s="52" t="s">
        <v>87</v>
      </c>
      <c r="C289" s="52" t="s">
        <v>3000</v>
      </c>
      <c r="D289" s="53" t="s">
        <v>3001</v>
      </c>
      <c r="E289" s="54" t="s">
        <v>89</v>
      </c>
      <c r="F289" s="54" t="s">
        <v>89</v>
      </c>
    </row>
    <row r="290" spans="1:6" ht="12" x14ac:dyDescent="0.2">
      <c r="A290" s="65">
        <v>7446</v>
      </c>
      <c r="B290" s="52" t="s">
        <v>1345</v>
      </c>
      <c r="C290" s="52" t="s">
        <v>3002</v>
      </c>
      <c r="D290" s="53" t="s">
        <v>3003</v>
      </c>
      <c r="E290" s="54" t="s">
        <v>1346</v>
      </c>
      <c r="F290" s="54" t="s">
        <v>251</v>
      </c>
    </row>
    <row r="291" spans="1:6" ht="12" x14ac:dyDescent="0.2">
      <c r="A291" s="65">
        <v>7460</v>
      </c>
      <c r="B291" s="52" t="s">
        <v>1347</v>
      </c>
      <c r="C291" s="52" t="s">
        <v>3005</v>
      </c>
      <c r="D291" s="53" t="s">
        <v>3006</v>
      </c>
      <c r="E291" s="54" t="s">
        <v>1347</v>
      </c>
      <c r="F291" s="54" t="s">
        <v>207</v>
      </c>
    </row>
    <row r="292" spans="1:6" ht="12" x14ac:dyDescent="0.2">
      <c r="A292" s="65">
        <v>7474</v>
      </c>
      <c r="B292" s="52" t="s">
        <v>1068</v>
      </c>
      <c r="C292" s="52" t="s">
        <v>3007</v>
      </c>
      <c r="D292" s="53" t="s">
        <v>3008</v>
      </c>
      <c r="E292" s="54" t="s">
        <v>781</v>
      </c>
      <c r="F292" s="54" t="s">
        <v>50</v>
      </c>
    </row>
    <row r="293" spans="1:6" ht="12" x14ac:dyDescent="0.2">
      <c r="A293" s="65">
        <v>7478</v>
      </c>
      <c r="B293" s="52" t="s">
        <v>1069</v>
      </c>
      <c r="C293" s="52" t="s">
        <v>3009</v>
      </c>
      <c r="D293" s="53" t="s">
        <v>3010</v>
      </c>
      <c r="E293" s="54" t="s">
        <v>3011</v>
      </c>
      <c r="F293" s="54" t="s">
        <v>42</v>
      </c>
    </row>
    <row r="294" spans="1:6" ht="12" x14ac:dyDescent="0.2">
      <c r="A294" s="65">
        <v>7483</v>
      </c>
      <c r="B294" s="52" t="s">
        <v>1070</v>
      </c>
      <c r="C294" s="52" t="s">
        <v>3012</v>
      </c>
      <c r="D294" s="53" t="s">
        <v>3013</v>
      </c>
      <c r="E294" s="54" t="s">
        <v>3014</v>
      </c>
      <c r="F294" s="54" t="s">
        <v>38</v>
      </c>
    </row>
    <row r="295" spans="1:6" ht="12" x14ac:dyDescent="0.2">
      <c r="A295" s="65">
        <v>7487</v>
      </c>
      <c r="B295" s="52" t="s">
        <v>1348</v>
      </c>
      <c r="C295" s="52" t="s">
        <v>3015</v>
      </c>
      <c r="D295" s="53" t="s">
        <v>3016</v>
      </c>
      <c r="E295" s="54" t="s">
        <v>748</v>
      </c>
      <c r="F295" s="54" t="s">
        <v>116</v>
      </c>
    </row>
    <row r="296" spans="1:6" ht="12" x14ac:dyDescent="0.2">
      <c r="A296" s="65">
        <v>7489</v>
      </c>
      <c r="B296" s="52" t="s">
        <v>1071</v>
      </c>
      <c r="C296" s="52" t="s">
        <v>3017</v>
      </c>
      <c r="D296" s="53" t="s">
        <v>3018</v>
      </c>
      <c r="E296" s="54" t="s">
        <v>1071</v>
      </c>
      <c r="F296" s="54" t="s">
        <v>887</v>
      </c>
    </row>
    <row r="297" spans="1:6" ht="12" x14ac:dyDescent="0.2">
      <c r="A297" s="65">
        <v>7496</v>
      </c>
      <c r="B297" s="52" t="s">
        <v>560</v>
      </c>
      <c r="C297" s="52" t="s">
        <v>3019</v>
      </c>
      <c r="D297" s="53" t="s">
        <v>3020</v>
      </c>
      <c r="E297" s="54" t="s">
        <v>561</v>
      </c>
      <c r="F297" s="54" t="s">
        <v>35</v>
      </c>
    </row>
    <row r="298" spans="1:6" ht="12" x14ac:dyDescent="0.2">
      <c r="A298" s="65">
        <v>7522</v>
      </c>
      <c r="B298" s="52" t="s">
        <v>3021</v>
      </c>
      <c r="C298" s="52" t="s">
        <v>3022</v>
      </c>
      <c r="D298" s="53" t="s">
        <v>3023</v>
      </c>
      <c r="E298" s="54" t="s">
        <v>1072</v>
      </c>
      <c r="F298" s="54" t="s">
        <v>84</v>
      </c>
    </row>
    <row r="299" spans="1:6" ht="12" x14ac:dyDescent="0.2">
      <c r="A299" s="65">
        <v>7523</v>
      </c>
      <c r="B299" s="52" t="s">
        <v>1073</v>
      </c>
      <c r="C299" s="52" t="s">
        <v>3024</v>
      </c>
      <c r="D299" s="53" t="s">
        <v>3025</v>
      </c>
      <c r="E299" s="54" t="s">
        <v>1073</v>
      </c>
      <c r="F299" s="54" t="s">
        <v>84</v>
      </c>
    </row>
    <row r="300" spans="1:6" ht="12" x14ac:dyDescent="0.2">
      <c r="A300" s="65">
        <v>7538</v>
      </c>
      <c r="B300" s="52" t="s">
        <v>3026</v>
      </c>
      <c r="C300" s="52" t="s">
        <v>3027</v>
      </c>
      <c r="D300" s="53" t="s">
        <v>3028</v>
      </c>
      <c r="E300" s="54" t="s">
        <v>163</v>
      </c>
      <c r="F300" s="54" t="s">
        <v>135</v>
      </c>
    </row>
    <row r="301" spans="1:6" ht="12" x14ac:dyDescent="0.2">
      <c r="A301" s="65">
        <v>7540</v>
      </c>
      <c r="B301" s="52" t="s">
        <v>1349</v>
      </c>
      <c r="C301" s="52" t="s">
        <v>3029</v>
      </c>
      <c r="D301" s="53" t="s">
        <v>3030</v>
      </c>
      <c r="E301" s="54" t="s">
        <v>1350</v>
      </c>
      <c r="F301" s="54" t="s">
        <v>154</v>
      </c>
    </row>
    <row r="302" spans="1:6" ht="12" x14ac:dyDescent="0.2">
      <c r="A302" s="65">
        <v>7545</v>
      </c>
      <c r="B302" s="52" t="s">
        <v>1351</v>
      </c>
      <c r="C302" s="52" t="s">
        <v>3031</v>
      </c>
      <c r="D302" s="53" t="s">
        <v>3032</v>
      </c>
      <c r="E302" s="54" t="s">
        <v>253</v>
      </c>
      <c r="F302" s="54" t="s">
        <v>253</v>
      </c>
    </row>
    <row r="303" spans="1:6" ht="12" x14ac:dyDescent="0.2">
      <c r="A303" s="65">
        <v>7557</v>
      </c>
      <c r="B303" s="52" t="s">
        <v>1074</v>
      </c>
      <c r="C303" s="52" t="s">
        <v>3033</v>
      </c>
      <c r="D303" s="53" t="s">
        <v>3034</v>
      </c>
      <c r="E303" s="54" t="s">
        <v>1074</v>
      </c>
      <c r="F303" s="54" t="s">
        <v>84</v>
      </c>
    </row>
    <row r="304" spans="1:6" ht="12" x14ac:dyDescent="0.2">
      <c r="A304" s="65">
        <v>7557</v>
      </c>
      <c r="B304" s="52" t="s">
        <v>1074</v>
      </c>
      <c r="C304" s="52" t="s">
        <v>3033</v>
      </c>
      <c r="D304" s="53" t="s">
        <v>3034</v>
      </c>
      <c r="E304" s="54" t="s">
        <v>1074</v>
      </c>
      <c r="F304" s="54" t="s">
        <v>84</v>
      </c>
    </row>
    <row r="305" spans="1:6" ht="12" x14ac:dyDescent="0.2">
      <c r="A305" s="65">
        <v>7558</v>
      </c>
      <c r="B305" s="52" t="s">
        <v>1075</v>
      </c>
      <c r="C305" s="52" t="s">
        <v>3035</v>
      </c>
      <c r="D305" s="53" t="s">
        <v>3036</v>
      </c>
      <c r="E305" s="54" t="s">
        <v>3037</v>
      </c>
      <c r="F305" s="54" t="s">
        <v>118</v>
      </c>
    </row>
    <row r="306" spans="1:6" ht="12" x14ac:dyDescent="0.2">
      <c r="A306" s="65">
        <v>7572</v>
      </c>
      <c r="B306" s="52" t="s">
        <v>3038</v>
      </c>
      <c r="C306" s="52" t="s">
        <v>3039</v>
      </c>
      <c r="D306" s="53" t="s">
        <v>3040</v>
      </c>
      <c r="E306" s="54" t="s">
        <v>3038</v>
      </c>
      <c r="F306" s="54" t="s">
        <v>251</v>
      </c>
    </row>
    <row r="307" spans="1:6" ht="12" x14ac:dyDescent="0.2">
      <c r="A307" s="65">
        <v>7584</v>
      </c>
      <c r="B307" s="52" t="s">
        <v>581</v>
      </c>
      <c r="C307" s="52" t="s">
        <v>3041</v>
      </c>
      <c r="D307" s="53" t="s">
        <v>2766</v>
      </c>
      <c r="E307" s="54" t="s">
        <v>581</v>
      </c>
      <c r="F307" s="54" t="s">
        <v>37</v>
      </c>
    </row>
    <row r="308" spans="1:6" ht="12" x14ac:dyDescent="0.2">
      <c r="A308" s="65">
        <v>7584</v>
      </c>
      <c r="B308" s="52" t="s">
        <v>581</v>
      </c>
      <c r="C308" s="52" t="s">
        <v>3041</v>
      </c>
      <c r="D308" s="53" t="s">
        <v>2766</v>
      </c>
      <c r="E308" s="54" t="s">
        <v>581</v>
      </c>
      <c r="F308" s="54" t="s">
        <v>37</v>
      </c>
    </row>
    <row r="309" spans="1:6" ht="12" x14ac:dyDescent="0.2">
      <c r="A309" s="65">
        <v>7585</v>
      </c>
      <c r="B309" s="52" t="s">
        <v>399</v>
      </c>
      <c r="C309" s="52" t="s">
        <v>3042</v>
      </c>
      <c r="D309" s="53" t="s">
        <v>3043</v>
      </c>
      <c r="E309" s="54" t="s">
        <v>1352</v>
      </c>
      <c r="F309" s="54" t="s">
        <v>145</v>
      </c>
    </row>
    <row r="310" spans="1:6" ht="12" x14ac:dyDescent="0.2">
      <c r="A310" s="65">
        <v>7587</v>
      </c>
      <c r="B310" s="52" t="s">
        <v>164</v>
      </c>
      <c r="C310" s="52" t="s">
        <v>3044</v>
      </c>
      <c r="D310" s="53" t="s">
        <v>2548</v>
      </c>
      <c r="E310" s="54" t="s">
        <v>105</v>
      </c>
      <c r="F310" s="54" t="s">
        <v>84</v>
      </c>
    </row>
    <row r="311" spans="1:6" ht="12" x14ac:dyDescent="0.2">
      <c r="A311" s="65">
        <v>7591</v>
      </c>
      <c r="B311" s="52" t="s">
        <v>1353</v>
      </c>
      <c r="C311" s="52" t="s">
        <v>3045</v>
      </c>
      <c r="D311" s="53" t="s">
        <v>3046</v>
      </c>
      <c r="E311" s="54" t="s">
        <v>1354</v>
      </c>
      <c r="F311" s="54" t="s">
        <v>38</v>
      </c>
    </row>
    <row r="312" spans="1:6" ht="12" x14ac:dyDescent="0.2">
      <c r="A312" s="65">
        <v>7592</v>
      </c>
      <c r="B312" s="52" t="s">
        <v>1355</v>
      </c>
      <c r="C312" s="52" t="s">
        <v>3047</v>
      </c>
      <c r="D312" s="53" t="s">
        <v>3048</v>
      </c>
      <c r="E312" s="54" t="s">
        <v>1355</v>
      </c>
      <c r="F312" s="54" t="s">
        <v>38</v>
      </c>
    </row>
    <row r="313" spans="1:6" ht="12" x14ac:dyDescent="0.2">
      <c r="A313" s="65">
        <v>7595</v>
      </c>
      <c r="B313" s="52" t="s">
        <v>1356</v>
      </c>
      <c r="C313" s="52" t="s">
        <v>3049</v>
      </c>
      <c r="D313" s="53" t="s">
        <v>3050</v>
      </c>
      <c r="E313" s="54" t="s">
        <v>1356</v>
      </c>
      <c r="F313" s="54" t="s">
        <v>63</v>
      </c>
    </row>
    <row r="314" spans="1:6" ht="12" x14ac:dyDescent="0.2">
      <c r="A314" s="65">
        <v>7597</v>
      </c>
      <c r="B314" s="52" t="s">
        <v>1076</v>
      </c>
      <c r="C314" s="52" t="s">
        <v>3051</v>
      </c>
      <c r="D314" s="53" t="s">
        <v>2494</v>
      </c>
      <c r="E314" s="54" t="s">
        <v>84</v>
      </c>
      <c r="F314" s="54" t="s">
        <v>84</v>
      </c>
    </row>
    <row r="315" spans="1:6" ht="12" x14ac:dyDescent="0.2">
      <c r="A315" s="65">
        <v>7617</v>
      </c>
      <c r="B315" s="52" t="s">
        <v>1077</v>
      </c>
      <c r="C315" s="52" t="s">
        <v>3052</v>
      </c>
      <c r="D315" s="53" t="s">
        <v>3053</v>
      </c>
      <c r="E315" s="54" t="s">
        <v>3054</v>
      </c>
      <c r="F315" s="54" t="s">
        <v>2840</v>
      </c>
    </row>
    <row r="316" spans="1:6" ht="12" x14ac:dyDescent="0.2">
      <c r="A316" s="65">
        <v>7634</v>
      </c>
      <c r="B316" s="52" t="s">
        <v>1357</v>
      </c>
      <c r="C316" s="52" t="s">
        <v>3055</v>
      </c>
      <c r="D316" s="53" t="s">
        <v>3056</v>
      </c>
      <c r="E316" s="54" t="s">
        <v>1358</v>
      </c>
      <c r="F316" s="54" t="s">
        <v>65</v>
      </c>
    </row>
    <row r="317" spans="1:6" ht="12" x14ac:dyDescent="0.2">
      <c r="A317" s="65">
        <v>7634</v>
      </c>
      <c r="B317" s="52" t="s">
        <v>1357</v>
      </c>
      <c r="C317" s="52" t="s">
        <v>3055</v>
      </c>
      <c r="D317" s="53" t="s">
        <v>3056</v>
      </c>
      <c r="E317" s="54" t="s">
        <v>1358</v>
      </c>
      <c r="F317" s="54" t="s">
        <v>65</v>
      </c>
    </row>
    <row r="318" spans="1:6" ht="12" x14ac:dyDescent="0.2">
      <c r="A318" s="65">
        <v>7652</v>
      </c>
      <c r="B318" s="52" t="s">
        <v>1359</v>
      </c>
      <c r="C318" s="52" t="s">
        <v>3057</v>
      </c>
      <c r="D318" s="53" t="s">
        <v>3058</v>
      </c>
      <c r="E318" s="54" t="s">
        <v>1360</v>
      </c>
      <c r="F318" s="54" t="s">
        <v>65</v>
      </c>
    </row>
    <row r="319" spans="1:6" ht="12" x14ac:dyDescent="0.2">
      <c r="A319" s="65">
        <v>10030</v>
      </c>
      <c r="B319" s="52" t="s">
        <v>1361</v>
      </c>
      <c r="C319" s="52" t="s">
        <v>1362</v>
      </c>
      <c r="D319" s="53" t="s">
        <v>3059</v>
      </c>
      <c r="E319" s="54" t="s">
        <v>621</v>
      </c>
      <c r="F319" s="54" t="s">
        <v>84</v>
      </c>
    </row>
    <row r="320" spans="1:6" ht="12" x14ac:dyDescent="0.2">
      <c r="A320" s="65">
        <v>10171</v>
      </c>
      <c r="B320" s="52" t="s">
        <v>3060</v>
      </c>
      <c r="C320" s="52" t="s">
        <v>3061</v>
      </c>
      <c r="D320" s="53" t="s">
        <v>3062</v>
      </c>
      <c r="E320" s="54" t="s">
        <v>165</v>
      </c>
      <c r="F320" s="54" t="s">
        <v>108</v>
      </c>
    </row>
    <row r="321" spans="1:6" ht="12" x14ac:dyDescent="0.2">
      <c r="A321" s="65">
        <v>10243</v>
      </c>
      <c r="B321" s="52" t="s">
        <v>1794</v>
      </c>
      <c r="C321" s="52" t="s">
        <v>3063</v>
      </c>
      <c r="D321" s="53" t="s">
        <v>3064</v>
      </c>
      <c r="E321" s="54" t="s">
        <v>2112</v>
      </c>
      <c r="F321" s="54" t="s">
        <v>152</v>
      </c>
    </row>
    <row r="322" spans="1:6" ht="12" x14ac:dyDescent="0.2">
      <c r="A322" s="65">
        <v>10277</v>
      </c>
      <c r="B322" s="52" t="s">
        <v>1997</v>
      </c>
      <c r="C322" s="52" t="s">
        <v>3065</v>
      </c>
      <c r="D322" s="53" t="s">
        <v>3066</v>
      </c>
      <c r="E322" s="54" t="s">
        <v>3067</v>
      </c>
      <c r="F322" s="54" t="s">
        <v>2553</v>
      </c>
    </row>
    <row r="323" spans="1:6" ht="12" x14ac:dyDescent="0.2">
      <c r="A323" s="65">
        <v>10352</v>
      </c>
      <c r="B323" s="52" t="s">
        <v>166</v>
      </c>
      <c r="C323" s="52" t="s">
        <v>3068</v>
      </c>
      <c r="D323" s="53" t="s">
        <v>3069</v>
      </c>
      <c r="E323" s="54" t="s">
        <v>3070</v>
      </c>
      <c r="F323" s="54" t="s">
        <v>123</v>
      </c>
    </row>
    <row r="324" spans="1:6" ht="12" x14ac:dyDescent="0.2">
      <c r="A324" s="65">
        <v>10477</v>
      </c>
      <c r="B324" s="52" t="s">
        <v>1364</v>
      </c>
      <c r="C324" s="52" t="s">
        <v>3071</v>
      </c>
      <c r="D324" s="53" t="s">
        <v>3072</v>
      </c>
      <c r="E324" s="54" t="s">
        <v>1365</v>
      </c>
      <c r="F324" s="54" t="s">
        <v>37</v>
      </c>
    </row>
    <row r="325" spans="1:6" ht="12" x14ac:dyDescent="0.2">
      <c r="A325" s="65">
        <v>10505</v>
      </c>
      <c r="B325" s="52" t="s">
        <v>562</v>
      </c>
      <c r="C325" s="52" t="s">
        <v>3073</v>
      </c>
      <c r="D325" s="53" t="s">
        <v>3074</v>
      </c>
      <c r="E325" s="54" t="s">
        <v>563</v>
      </c>
      <c r="F325" s="54" t="s">
        <v>108</v>
      </c>
    </row>
    <row r="326" spans="1:6" ht="12" x14ac:dyDescent="0.2">
      <c r="A326" s="65">
        <v>10537</v>
      </c>
      <c r="B326" s="52" t="s">
        <v>564</v>
      </c>
      <c r="C326" s="52" t="s">
        <v>3075</v>
      </c>
      <c r="D326" s="53" t="s">
        <v>3076</v>
      </c>
      <c r="E326" s="54" t="s">
        <v>565</v>
      </c>
      <c r="F326" s="54" t="s">
        <v>37</v>
      </c>
    </row>
    <row r="327" spans="1:6" ht="12" x14ac:dyDescent="0.2">
      <c r="A327" s="65">
        <v>10553</v>
      </c>
      <c r="B327" s="52" t="s">
        <v>1366</v>
      </c>
      <c r="C327" s="52" t="s">
        <v>3077</v>
      </c>
      <c r="D327" s="53" t="s">
        <v>3078</v>
      </c>
      <c r="E327" s="54" t="s">
        <v>1366</v>
      </c>
      <c r="F327" s="54" t="s">
        <v>177</v>
      </c>
    </row>
    <row r="328" spans="1:6" ht="12" x14ac:dyDescent="0.2">
      <c r="A328" s="65">
        <v>10556</v>
      </c>
      <c r="B328" s="52" t="s">
        <v>1367</v>
      </c>
      <c r="C328" s="52" t="s">
        <v>3079</v>
      </c>
      <c r="D328" s="53" t="s">
        <v>3080</v>
      </c>
      <c r="E328" s="54" t="s">
        <v>1367</v>
      </c>
      <c r="F328" s="54" t="s">
        <v>123</v>
      </c>
    </row>
    <row r="329" spans="1:6" ht="12" x14ac:dyDescent="0.2">
      <c r="A329" s="65">
        <v>10563</v>
      </c>
      <c r="B329" s="52" t="s">
        <v>167</v>
      </c>
      <c r="C329" s="52" t="s">
        <v>3081</v>
      </c>
      <c r="D329" s="53" t="s">
        <v>2581</v>
      </c>
      <c r="E329" s="54" t="s">
        <v>168</v>
      </c>
      <c r="F329" s="54" t="s">
        <v>108</v>
      </c>
    </row>
    <row r="330" spans="1:6" ht="12" x14ac:dyDescent="0.2">
      <c r="A330" s="65">
        <v>10569</v>
      </c>
      <c r="B330" s="52" t="s">
        <v>566</v>
      </c>
      <c r="C330" s="52" t="s">
        <v>3082</v>
      </c>
      <c r="D330" s="53" t="s">
        <v>3083</v>
      </c>
      <c r="E330" s="54" t="s">
        <v>566</v>
      </c>
      <c r="F330" s="54" t="s">
        <v>123</v>
      </c>
    </row>
    <row r="331" spans="1:6" ht="12" x14ac:dyDescent="0.2">
      <c r="A331" s="65">
        <v>10573</v>
      </c>
      <c r="B331" s="52" t="s">
        <v>1370</v>
      </c>
      <c r="C331" s="52" t="s">
        <v>3084</v>
      </c>
      <c r="D331" s="53" t="s">
        <v>3085</v>
      </c>
      <c r="E331" s="54" t="s">
        <v>1370</v>
      </c>
      <c r="F331" s="54" t="s">
        <v>342</v>
      </c>
    </row>
    <row r="332" spans="1:6" ht="12" x14ac:dyDescent="0.2">
      <c r="A332" s="65">
        <v>10598</v>
      </c>
      <c r="B332" s="52" t="s">
        <v>169</v>
      </c>
      <c r="C332" s="52" t="s">
        <v>3086</v>
      </c>
      <c r="D332" s="53" t="s">
        <v>3087</v>
      </c>
      <c r="E332" s="54" t="s">
        <v>3088</v>
      </c>
      <c r="F332" s="54" t="s">
        <v>82</v>
      </c>
    </row>
    <row r="333" spans="1:6" ht="12" x14ac:dyDescent="0.2">
      <c r="A333" s="65">
        <v>10609</v>
      </c>
      <c r="B333" s="52" t="s">
        <v>3089</v>
      </c>
      <c r="C333" s="52" t="s">
        <v>3090</v>
      </c>
      <c r="D333" s="53" t="s">
        <v>3091</v>
      </c>
      <c r="E333" s="54" t="s">
        <v>567</v>
      </c>
      <c r="F333" s="54" t="s">
        <v>65</v>
      </c>
    </row>
    <row r="334" spans="1:6" ht="12" x14ac:dyDescent="0.2">
      <c r="A334" s="65">
        <v>10672</v>
      </c>
      <c r="B334" s="52" t="s">
        <v>568</v>
      </c>
      <c r="C334" s="52" t="s">
        <v>3092</v>
      </c>
      <c r="D334" s="53" t="s">
        <v>3093</v>
      </c>
      <c r="E334" s="54" t="s">
        <v>568</v>
      </c>
      <c r="F334" s="54" t="s">
        <v>152</v>
      </c>
    </row>
    <row r="335" spans="1:6" ht="12" x14ac:dyDescent="0.2">
      <c r="A335" s="65">
        <v>10706</v>
      </c>
      <c r="B335" s="52" t="s">
        <v>1371</v>
      </c>
      <c r="C335" s="52" t="s">
        <v>3094</v>
      </c>
      <c r="D335" s="53" t="s">
        <v>3095</v>
      </c>
      <c r="E335" s="54" t="s">
        <v>1372</v>
      </c>
      <c r="F335" s="54" t="s">
        <v>65</v>
      </c>
    </row>
    <row r="336" spans="1:6" ht="12" x14ac:dyDescent="0.2">
      <c r="A336" s="65">
        <v>10716</v>
      </c>
      <c r="B336" s="52" t="s">
        <v>2041</v>
      </c>
      <c r="C336" s="52" t="s">
        <v>3096</v>
      </c>
      <c r="D336" s="53" t="s">
        <v>2723</v>
      </c>
      <c r="E336" s="54" t="s">
        <v>1938</v>
      </c>
      <c r="F336" s="54" t="s">
        <v>116</v>
      </c>
    </row>
    <row r="337" spans="1:6" ht="12" x14ac:dyDescent="0.2">
      <c r="A337" s="65">
        <v>10721</v>
      </c>
      <c r="B337" s="52" t="s">
        <v>1373</v>
      </c>
      <c r="C337" s="52" t="s">
        <v>3097</v>
      </c>
      <c r="D337" s="53" t="s">
        <v>3098</v>
      </c>
      <c r="E337" s="54" t="s">
        <v>1373</v>
      </c>
      <c r="F337" s="54" t="s">
        <v>145</v>
      </c>
    </row>
    <row r="338" spans="1:6" ht="12" x14ac:dyDescent="0.2">
      <c r="A338" s="65">
        <v>10737</v>
      </c>
      <c r="B338" s="52" t="s">
        <v>3099</v>
      </c>
      <c r="C338" s="52" t="s">
        <v>3100</v>
      </c>
      <c r="D338" s="53" t="s">
        <v>3076</v>
      </c>
      <c r="E338" s="54" t="s">
        <v>565</v>
      </c>
      <c r="F338" s="54" t="s">
        <v>37</v>
      </c>
    </row>
    <row r="339" spans="1:6" ht="12" x14ac:dyDescent="0.2">
      <c r="A339" s="65">
        <v>10779</v>
      </c>
      <c r="B339" s="52" t="s">
        <v>569</v>
      </c>
      <c r="C339" s="52" t="s">
        <v>3101</v>
      </c>
      <c r="D339" s="53" t="s">
        <v>3102</v>
      </c>
      <c r="E339" s="54" t="s">
        <v>3103</v>
      </c>
      <c r="F339" s="54" t="s">
        <v>51</v>
      </c>
    </row>
    <row r="340" spans="1:6" ht="12" x14ac:dyDescent="0.2">
      <c r="A340" s="65">
        <v>10779</v>
      </c>
      <c r="B340" s="52" t="s">
        <v>569</v>
      </c>
      <c r="C340" s="52" t="s">
        <v>3101</v>
      </c>
      <c r="D340" s="53" t="s">
        <v>3102</v>
      </c>
      <c r="E340" s="54" t="s">
        <v>3103</v>
      </c>
      <c r="F340" s="54" t="s">
        <v>51</v>
      </c>
    </row>
    <row r="341" spans="1:6" ht="12" x14ac:dyDescent="0.2">
      <c r="A341" s="65">
        <v>10786</v>
      </c>
      <c r="B341" s="52" t="s">
        <v>1078</v>
      </c>
      <c r="C341" s="52" t="s">
        <v>3104</v>
      </c>
      <c r="D341" s="53" t="s">
        <v>3105</v>
      </c>
      <c r="E341" s="54" t="s">
        <v>3106</v>
      </c>
      <c r="F341" s="54" t="s">
        <v>82</v>
      </c>
    </row>
    <row r="342" spans="1:6" ht="12" x14ac:dyDescent="0.2">
      <c r="A342" s="65">
        <v>10787</v>
      </c>
      <c r="B342" s="52" t="s">
        <v>1079</v>
      </c>
      <c r="C342" s="52" t="s">
        <v>3104</v>
      </c>
      <c r="D342" s="53" t="s">
        <v>3105</v>
      </c>
      <c r="E342" s="54" t="s">
        <v>3106</v>
      </c>
      <c r="F342" s="54" t="s">
        <v>82</v>
      </c>
    </row>
    <row r="343" spans="1:6" ht="12" x14ac:dyDescent="0.2">
      <c r="A343" s="65">
        <v>10838</v>
      </c>
      <c r="B343" s="52" t="s">
        <v>1374</v>
      </c>
      <c r="C343" s="52" t="s">
        <v>3107</v>
      </c>
      <c r="D343" s="53" t="s">
        <v>3108</v>
      </c>
      <c r="E343" s="54" t="s">
        <v>1375</v>
      </c>
      <c r="F343" s="54" t="s">
        <v>342</v>
      </c>
    </row>
    <row r="344" spans="1:6" ht="12" x14ac:dyDescent="0.2">
      <c r="A344" s="65">
        <v>10875</v>
      </c>
      <c r="B344" s="52" t="s">
        <v>1376</v>
      </c>
      <c r="C344" s="52" t="s">
        <v>3109</v>
      </c>
      <c r="D344" s="53" t="s">
        <v>3110</v>
      </c>
      <c r="E344" s="54" t="s">
        <v>1377</v>
      </c>
      <c r="F344" s="54" t="s">
        <v>37</v>
      </c>
    </row>
    <row r="345" spans="1:6" ht="12" x14ac:dyDescent="0.2">
      <c r="A345" s="65">
        <v>10879</v>
      </c>
      <c r="B345" s="52" t="s">
        <v>1080</v>
      </c>
      <c r="C345" s="52" t="s">
        <v>3111</v>
      </c>
      <c r="D345" s="53" t="s">
        <v>3034</v>
      </c>
      <c r="E345" s="54" t="s">
        <v>1074</v>
      </c>
      <c r="F345" s="54" t="s">
        <v>84</v>
      </c>
    </row>
    <row r="346" spans="1:6" ht="12" x14ac:dyDescent="0.2">
      <c r="A346" s="65">
        <v>10914</v>
      </c>
      <c r="B346" s="52" t="s">
        <v>1081</v>
      </c>
      <c r="C346" s="52" t="s">
        <v>3112</v>
      </c>
      <c r="D346" s="53" t="s">
        <v>2487</v>
      </c>
      <c r="E346" s="54" t="s">
        <v>590</v>
      </c>
      <c r="F346" s="54" t="s">
        <v>152</v>
      </c>
    </row>
    <row r="347" spans="1:6" ht="12" x14ac:dyDescent="0.2">
      <c r="A347" s="65">
        <v>10924</v>
      </c>
      <c r="B347" s="52" t="s">
        <v>36</v>
      </c>
      <c r="C347" s="52" t="s">
        <v>1378</v>
      </c>
      <c r="D347" s="53" t="s">
        <v>3113</v>
      </c>
      <c r="E347" s="54" t="s">
        <v>36</v>
      </c>
      <c r="F347" s="54" t="s">
        <v>36</v>
      </c>
    </row>
    <row r="348" spans="1:6" ht="12" x14ac:dyDescent="0.2">
      <c r="A348" s="65">
        <v>10933</v>
      </c>
      <c r="B348" s="52" t="s">
        <v>570</v>
      </c>
      <c r="C348" s="52" t="s">
        <v>3114</v>
      </c>
      <c r="D348" s="53" t="s">
        <v>3115</v>
      </c>
      <c r="E348" s="54" t="s">
        <v>3116</v>
      </c>
      <c r="F348" s="54" t="s">
        <v>158</v>
      </c>
    </row>
    <row r="349" spans="1:6" ht="12" x14ac:dyDescent="0.2">
      <c r="A349" s="65">
        <v>10957</v>
      </c>
      <c r="B349" s="52" t="s">
        <v>571</v>
      </c>
      <c r="C349" s="52" t="s">
        <v>3117</v>
      </c>
      <c r="D349" s="53" t="s">
        <v>3118</v>
      </c>
      <c r="E349" s="54" t="s">
        <v>571</v>
      </c>
      <c r="F349" s="54" t="s">
        <v>2553</v>
      </c>
    </row>
    <row r="350" spans="1:6" ht="12" x14ac:dyDescent="0.2">
      <c r="A350" s="65">
        <v>10978</v>
      </c>
      <c r="B350" s="52" t="s">
        <v>1379</v>
      </c>
      <c r="C350" s="52" t="s">
        <v>3119</v>
      </c>
      <c r="D350" s="53" t="s">
        <v>3120</v>
      </c>
      <c r="E350" s="54" t="s">
        <v>1380</v>
      </c>
      <c r="F350" s="54" t="s">
        <v>49</v>
      </c>
    </row>
    <row r="351" spans="1:6" ht="12" x14ac:dyDescent="0.2">
      <c r="A351" s="65">
        <v>10994</v>
      </c>
      <c r="B351" s="52" t="s">
        <v>1381</v>
      </c>
      <c r="C351" s="52" t="s">
        <v>3121</v>
      </c>
      <c r="D351" s="53" t="s">
        <v>3122</v>
      </c>
      <c r="E351" s="54" t="s">
        <v>1381</v>
      </c>
      <c r="F351" s="54" t="s">
        <v>332</v>
      </c>
    </row>
    <row r="352" spans="1:6" ht="12" x14ac:dyDescent="0.2">
      <c r="A352" s="65">
        <v>11004</v>
      </c>
      <c r="B352" s="52" t="s">
        <v>1382</v>
      </c>
      <c r="C352" s="52" t="s">
        <v>3123</v>
      </c>
      <c r="D352" s="53" t="s">
        <v>3124</v>
      </c>
      <c r="E352" s="54" t="s">
        <v>1383</v>
      </c>
      <c r="F352" s="54" t="s">
        <v>50</v>
      </c>
    </row>
    <row r="353" spans="1:6" ht="12" x14ac:dyDescent="0.2">
      <c r="A353" s="65">
        <v>11024</v>
      </c>
      <c r="B353" s="52" t="s">
        <v>1384</v>
      </c>
      <c r="C353" s="52" t="s">
        <v>3125</v>
      </c>
      <c r="D353" s="53" t="s">
        <v>3126</v>
      </c>
      <c r="E353" s="54" t="s">
        <v>1385</v>
      </c>
      <c r="F353" s="54" t="s">
        <v>149</v>
      </c>
    </row>
    <row r="354" spans="1:6" ht="12" x14ac:dyDescent="0.2">
      <c r="A354" s="65">
        <v>11034</v>
      </c>
      <c r="B354" s="52" t="s">
        <v>1386</v>
      </c>
      <c r="C354" s="52" t="s">
        <v>3127</v>
      </c>
      <c r="D354" s="53" t="s">
        <v>3128</v>
      </c>
      <c r="E354" s="54" t="s">
        <v>1387</v>
      </c>
      <c r="F354" s="54" t="s">
        <v>158</v>
      </c>
    </row>
    <row r="355" spans="1:6" ht="12" x14ac:dyDescent="0.2">
      <c r="A355" s="65">
        <v>11037</v>
      </c>
      <c r="B355" s="52" t="s">
        <v>1388</v>
      </c>
      <c r="C355" s="52" t="s">
        <v>3129</v>
      </c>
      <c r="D355" s="53" t="s">
        <v>3130</v>
      </c>
      <c r="E355" s="54" t="s">
        <v>1389</v>
      </c>
      <c r="F355" s="54" t="s">
        <v>332</v>
      </c>
    </row>
    <row r="356" spans="1:6" ht="12" x14ac:dyDescent="0.2">
      <c r="A356" s="65">
        <v>11045</v>
      </c>
      <c r="B356" s="52" t="s">
        <v>572</v>
      </c>
      <c r="C356" s="52" t="s">
        <v>3131</v>
      </c>
      <c r="D356" s="53" t="s">
        <v>3132</v>
      </c>
      <c r="E356" s="54" t="s">
        <v>573</v>
      </c>
      <c r="F356" s="54" t="s">
        <v>51</v>
      </c>
    </row>
    <row r="357" spans="1:6" ht="12" x14ac:dyDescent="0.2">
      <c r="A357" s="65">
        <v>11087</v>
      </c>
      <c r="B357" s="52" t="s">
        <v>1390</v>
      </c>
      <c r="C357" s="52" t="s">
        <v>3133</v>
      </c>
      <c r="D357" s="53" t="s">
        <v>3134</v>
      </c>
      <c r="E357" s="54" t="s">
        <v>1390</v>
      </c>
      <c r="F357" s="54" t="s">
        <v>37</v>
      </c>
    </row>
    <row r="358" spans="1:6" ht="12" x14ac:dyDescent="0.2">
      <c r="A358" s="65">
        <v>11109</v>
      </c>
      <c r="B358" s="52" t="s">
        <v>1391</v>
      </c>
      <c r="C358" s="52" t="s">
        <v>3135</v>
      </c>
      <c r="D358" s="53" t="s">
        <v>3136</v>
      </c>
      <c r="E358" s="54" t="s">
        <v>1391</v>
      </c>
      <c r="F358" s="54" t="s">
        <v>80</v>
      </c>
    </row>
    <row r="359" spans="1:6" ht="12" x14ac:dyDescent="0.2">
      <c r="A359" s="65">
        <v>11131</v>
      </c>
      <c r="B359" s="52" t="s">
        <v>1392</v>
      </c>
      <c r="C359" s="52" t="s">
        <v>3137</v>
      </c>
      <c r="D359" s="53" t="s">
        <v>3138</v>
      </c>
      <c r="E359" s="54" t="s">
        <v>1393</v>
      </c>
      <c r="F359" s="54" t="s">
        <v>145</v>
      </c>
    </row>
    <row r="360" spans="1:6" ht="12" x14ac:dyDescent="0.2">
      <c r="A360" s="65">
        <v>11151</v>
      </c>
      <c r="B360" s="52" t="s">
        <v>1394</v>
      </c>
      <c r="C360" s="52" t="s">
        <v>3139</v>
      </c>
      <c r="D360" s="53" t="s">
        <v>3140</v>
      </c>
      <c r="E360" s="54" t="s">
        <v>1396</v>
      </c>
      <c r="F360" s="54" t="s">
        <v>123</v>
      </c>
    </row>
    <row r="361" spans="1:6" ht="12" x14ac:dyDescent="0.2">
      <c r="A361" s="65">
        <v>11167</v>
      </c>
      <c r="B361" s="52" t="s">
        <v>1397</v>
      </c>
      <c r="C361" s="52" t="s">
        <v>3141</v>
      </c>
      <c r="D361" s="53" t="s">
        <v>3142</v>
      </c>
      <c r="E361" s="54" t="s">
        <v>1397</v>
      </c>
      <c r="F361" s="54" t="s">
        <v>332</v>
      </c>
    </row>
    <row r="362" spans="1:6" ht="12" x14ac:dyDescent="0.2">
      <c r="A362" s="65">
        <v>11172</v>
      </c>
      <c r="B362" s="52" t="s">
        <v>1398</v>
      </c>
      <c r="C362" s="52" t="s">
        <v>1399</v>
      </c>
      <c r="D362" s="53" t="s">
        <v>3143</v>
      </c>
      <c r="E362" s="54" t="s">
        <v>390</v>
      </c>
      <c r="F362" s="54" t="s">
        <v>84</v>
      </c>
    </row>
    <row r="363" spans="1:6" ht="12" x14ac:dyDescent="0.2">
      <c r="A363" s="65">
        <v>11181</v>
      </c>
      <c r="B363" s="52" t="s">
        <v>1400</v>
      </c>
      <c r="C363" s="52" t="s">
        <v>3144</v>
      </c>
      <c r="D363" s="53" t="s">
        <v>3145</v>
      </c>
      <c r="E363" s="54" t="s">
        <v>1401</v>
      </c>
      <c r="F363" s="54" t="s">
        <v>253</v>
      </c>
    </row>
    <row r="364" spans="1:6" ht="12" x14ac:dyDescent="0.2">
      <c r="A364" s="65">
        <v>11201</v>
      </c>
      <c r="B364" s="52" t="s">
        <v>2126</v>
      </c>
      <c r="C364" s="52" t="s">
        <v>3146</v>
      </c>
      <c r="D364" s="53" t="s">
        <v>3147</v>
      </c>
      <c r="E364" s="54" t="s">
        <v>1927</v>
      </c>
      <c r="F364" s="54" t="s">
        <v>285</v>
      </c>
    </row>
    <row r="365" spans="1:6" ht="12" x14ac:dyDescent="0.2">
      <c r="A365" s="65">
        <v>11205</v>
      </c>
      <c r="B365" s="52" t="s">
        <v>1082</v>
      </c>
      <c r="C365" s="52" t="s">
        <v>3148</v>
      </c>
      <c r="D365" s="53" t="s">
        <v>3149</v>
      </c>
      <c r="E365" s="54" t="s">
        <v>1083</v>
      </c>
      <c r="F365" s="54" t="s">
        <v>84</v>
      </c>
    </row>
    <row r="366" spans="1:6" ht="12" x14ac:dyDescent="0.2">
      <c r="A366" s="65">
        <v>11214</v>
      </c>
      <c r="B366" s="52" t="s">
        <v>1402</v>
      </c>
      <c r="C366" s="52" t="s">
        <v>3150</v>
      </c>
      <c r="D366" s="53" t="s">
        <v>3151</v>
      </c>
      <c r="E366" s="54" t="s">
        <v>384</v>
      </c>
      <c r="F366" s="54" t="s">
        <v>253</v>
      </c>
    </row>
    <row r="367" spans="1:6" ht="12" x14ac:dyDescent="0.2">
      <c r="A367" s="65">
        <v>11215</v>
      </c>
      <c r="B367" s="52" t="s">
        <v>1084</v>
      </c>
      <c r="C367" s="52" t="s">
        <v>3152</v>
      </c>
      <c r="D367" s="53" t="s">
        <v>3153</v>
      </c>
      <c r="E367" s="54" t="s">
        <v>1084</v>
      </c>
      <c r="F367" s="54" t="s">
        <v>108</v>
      </c>
    </row>
    <row r="368" spans="1:6" ht="12" x14ac:dyDescent="0.2">
      <c r="A368" s="65">
        <v>11223</v>
      </c>
      <c r="B368" s="52" t="s">
        <v>170</v>
      </c>
      <c r="C368" s="52" t="s">
        <v>3154</v>
      </c>
      <c r="D368" s="53" t="s">
        <v>3155</v>
      </c>
      <c r="E368" s="54" t="s">
        <v>170</v>
      </c>
      <c r="F368" s="54" t="s">
        <v>171</v>
      </c>
    </row>
    <row r="369" spans="1:6" ht="12" x14ac:dyDescent="0.2">
      <c r="A369" s="65">
        <v>11226</v>
      </c>
      <c r="B369" s="52" t="s">
        <v>3156</v>
      </c>
      <c r="C369" s="52" t="s">
        <v>3157</v>
      </c>
      <c r="D369" s="53" t="s">
        <v>3158</v>
      </c>
      <c r="E369" s="54" t="s">
        <v>574</v>
      </c>
      <c r="F369" s="54" t="s">
        <v>145</v>
      </c>
    </row>
    <row r="370" spans="1:6" ht="12" x14ac:dyDescent="0.2">
      <c r="A370" s="65">
        <v>11227</v>
      </c>
      <c r="B370" s="52" t="s">
        <v>172</v>
      </c>
      <c r="C370" s="52" t="s">
        <v>3159</v>
      </c>
      <c r="D370" s="53" t="s">
        <v>2636</v>
      </c>
      <c r="E370" s="54" t="s">
        <v>115</v>
      </c>
      <c r="F370" s="54" t="s">
        <v>116</v>
      </c>
    </row>
    <row r="371" spans="1:6" ht="12" x14ac:dyDescent="0.2">
      <c r="A371" s="65">
        <v>11233</v>
      </c>
      <c r="B371" s="52" t="s">
        <v>1403</v>
      </c>
      <c r="C371" s="52" t="s">
        <v>3160</v>
      </c>
      <c r="D371" s="53" t="s">
        <v>3161</v>
      </c>
      <c r="E371" s="54" t="s">
        <v>1404</v>
      </c>
      <c r="F371" s="54" t="s">
        <v>118</v>
      </c>
    </row>
    <row r="372" spans="1:6" ht="12" x14ac:dyDescent="0.2">
      <c r="A372" s="65">
        <v>11241</v>
      </c>
      <c r="B372" s="52" t="s">
        <v>1405</v>
      </c>
      <c r="C372" s="52" t="s">
        <v>3162</v>
      </c>
      <c r="D372" s="53" t="s">
        <v>2468</v>
      </c>
      <c r="E372" s="54" t="s">
        <v>504</v>
      </c>
      <c r="F372" s="54" t="s">
        <v>152</v>
      </c>
    </row>
    <row r="373" spans="1:6" ht="12" x14ac:dyDescent="0.2">
      <c r="A373" s="65">
        <v>11280</v>
      </c>
      <c r="B373" s="52" t="s">
        <v>3163</v>
      </c>
      <c r="C373" s="52" t="s">
        <v>3164</v>
      </c>
      <c r="D373" s="53" t="s">
        <v>3165</v>
      </c>
      <c r="E373" s="54" t="s">
        <v>3163</v>
      </c>
      <c r="F373" s="54" t="s">
        <v>2553</v>
      </c>
    </row>
    <row r="374" spans="1:6" ht="12" x14ac:dyDescent="0.2">
      <c r="A374" s="65">
        <v>11312</v>
      </c>
      <c r="B374" s="52" t="s">
        <v>173</v>
      </c>
      <c r="C374" s="52" t="s">
        <v>3167</v>
      </c>
      <c r="D374" s="53" t="s">
        <v>3168</v>
      </c>
      <c r="E374" s="54" t="s">
        <v>173</v>
      </c>
      <c r="F374" s="54" t="s">
        <v>174</v>
      </c>
    </row>
    <row r="375" spans="1:6" ht="12" x14ac:dyDescent="0.2">
      <c r="A375" s="65">
        <v>11315</v>
      </c>
      <c r="B375" s="52" t="s">
        <v>3169</v>
      </c>
      <c r="C375" s="52" t="s">
        <v>3170</v>
      </c>
      <c r="D375" s="53" t="s">
        <v>3171</v>
      </c>
      <c r="E375" s="54" t="s">
        <v>3172</v>
      </c>
      <c r="F375" s="54" t="s">
        <v>99</v>
      </c>
    </row>
    <row r="376" spans="1:6" ht="12" x14ac:dyDescent="0.2">
      <c r="A376" s="65">
        <v>11330</v>
      </c>
      <c r="B376" s="52" t="s">
        <v>575</v>
      </c>
      <c r="C376" s="52" t="s">
        <v>3173</v>
      </c>
      <c r="D376" s="53" t="s">
        <v>3174</v>
      </c>
      <c r="E376" s="54" t="s">
        <v>576</v>
      </c>
      <c r="F376" s="54" t="s">
        <v>35</v>
      </c>
    </row>
    <row r="377" spans="1:6" ht="12" x14ac:dyDescent="0.2">
      <c r="A377" s="65">
        <v>11342</v>
      </c>
      <c r="B377" s="52" t="s">
        <v>1406</v>
      </c>
      <c r="C377" s="52" t="s">
        <v>3175</v>
      </c>
      <c r="D377" s="53" t="s">
        <v>3176</v>
      </c>
      <c r="E377" s="54" t="s">
        <v>1407</v>
      </c>
      <c r="F377" s="54" t="s">
        <v>171</v>
      </c>
    </row>
    <row r="378" spans="1:6" ht="12" x14ac:dyDescent="0.2">
      <c r="A378" s="65">
        <v>11352</v>
      </c>
      <c r="B378" s="52" t="s">
        <v>175</v>
      </c>
      <c r="C378" s="52" t="s">
        <v>3177</v>
      </c>
      <c r="D378" s="53" t="s">
        <v>3178</v>
      </c>
      <c r="E378" s="54" t="s">
        <v>175</v>
      </c>
      <c r="F378" s="54" t="s">
        <v>176</v>
      </c>
    </row>
    <row r="379" spans="1:6" ht="12" x14ac:dyDescent="0.2">
      <c r="A379" s="65">
        <v>11369</v>
      </c>
      <c r="B379" s="52" t="s">
        <v>1408</v>
      </c>
      <c r="C379" s="52" t="s">
        <v>1409</v>
      </c>
      <c r="D379" s="53" t="s">
        <v>3179</v>
      </c>
      <c r="E379" s="54" t="s">
        <v>82</v>
      </c>
      <c r="F379" s="54" t="s">
        <v>82</v>
      </c>
    </row>
    <row r="380" spans="1:6" ht="12" x14ac:dyDescent="0.2">
      <c r="A380" s="65">
        <v>11375</v>
      </c>
      <c r="B380" s="52" t="s">
        <v>1085</v>
      </c>
      <c r="C380" s="52" t="s">
        <v>3180</v>
      </c>
      <c r="D380" s="53" t="s">
        <v>3181</v>
      </c>
      <c r="E380" s="54" t="s">
        <v>174</v>
      </c>
      <c r="F380" s="54" t="s">
        <v>174</v>
      </c>
    </row>
    <row r="381" spans="1:6" ht="12" x14ac:dyDescent="0.2">
      <c r="A381" s="65">
        <v>11378</v>
      </c>
      <c r="B381" s="52" t="s">
        <v>577</v>
      </c>
      <c r="C381" s="52" t="s">
        <v>3182</v>
      </c>
      <c r="D381" s="53" t="s">
        <v>3183</v>
      </c>
      <c r="E381" s="54" t="s">
        <v>578</v>
      </c>
      <c r="F381" s="54" t="s">
        <v>99</v>
      </c>
    </row>
    <row r="382" spans="1:6" ht="12" x14ac:dyDescent="0.2">
      <c r="A382" s="65">
        <v>11395</v>
      </c>
      <c r="B382" s="52" t="s">
        <v>3184</v>
      </c>
      <c r="C382" s="52" t="s">
        <v>3185</v>
      </c>
      <c r="D382" s="53" t="s">
        <v>3186</v>
      </c>
      <c r="E382" s="54" t="s">
        <v>3187</v>
      </c>
      <c r="F382" s="54" t="s">
        <v>342</v>
      </c>
    </row>
    <row r="383" spans="1:6" ht="12" x14ac:dyDescent="0.2">
      <c r="A383" s="65">
        <v>11403</v>
      </c>
      <c r="B383" s="52" t="s">
        <v>579</v>
      </c>
      <c r="C383" s="52" t="s">
        <v>3188</v>
      </c>
      <c r="D383" s="53" t="s">
        <v>3189</v>
      </c>
      <c r="E383" s="54" t="s">
        <v>3190</v>
      </c>
      <c r="F383" s="54" t="s">
        <v>51</v>
      </c>
    </row>
    <row r="384" spans="1:6" ht="12" x14ac:dyDescent="0.2">
      <c r="A384" s="65">
        <v>11408</v>
      </c>
      <c r="B384" s="52" t="s">
        <v>1410</v>
      </c>
      <c r="C384" s="52" t="s">
        <v>3191</v>
      </c>
      <c r="D384" s="53" t="s">
        <v>3192</v>
      </c>
      <c r="E384" s="54" t="s">
        <v>1410</v>
      </c>
      <c r="F384" s="54" t="s">
        <v>207</v>
      </c>
    </row>
    <row r="385" spans="1:6" ht="12" x14ac:dyDescent="0.2">
      <c r="A385" s="65">
        <v>11415</v>
      </c>
      <c r="B385" s="52" t="s">
        <v>580</v>
      </c>
      <c r="C385" s="52" t="s">
        <v>3193</v>
      </c>
      <c r="D385" s="53" t="s">
        <v>2766</v>
      </c>
      <c r="E385" s="54" t="s">
        <v>581</v>
      </c>
      <c r="F385" s="54" t="s">
        <v>37</v>
      </c>
    </row>
    <row r="386" spans="1:6" ht="12" x14ac:dyDescent="0.2">
      <c r="A386" s="65">
        <v>11440</v>
      </c>
      <c r="B386" s="52" t="s">
        <v>3194</v>
      </c>
      <c r="C386" s="52" t="s">
        <v>3195</v>
      </c>
      <c r="D386" s="53" t="s">
        <v>3196</v>
      </c>
      <c r="E386" s="54" t="s">
        <v>2840</v>
      </c>
      <c r="F386" s="54" t="s">
        <v>2840</v>
      </c>
    </row>
    <row r="387" spans="1:6" ht="12" x14ac:dyDescent="0.2">
      <c r="A387" s="65">
        <v>11446</v>
      </c>
      <c r="B387" s="52" t="s">
        <v>178</v>
      </c>
      <c r="C387" s="52" t="s">
        <v>3197</v>
      </c>
      <c r="D387" s="53" t="s">
        <v>3198</v>
      </c>
      <c r="E387" s="54" t="s">
        <v>178</v>
      </c>
      <c r="F387" s="54" t="s">
        <v>179</v>
      </c>
    </row>
    <row r="388" spans="1:6" ht="12" x14ac:dyDescent="0.2">
      <c r="A388" s="65">
        <v>11483</v>
      </c>
      <c r="B388" s="52" t="s">
        <v>1411</v>
      </c>
      <c r="C388" s="52" t="s">
        <v>3199</v>
      </c>
      <c r="D388" s="53" t="s">
        <v>3200</v>
      </c>
      <c r="E388" s="54" t="s">
        <v>1412</v>
      </c>
      <c r="F388" s="54" t="s">
        <v>640</v>
      </c>
    </row>
    <row r="389" spans="1:6" ht="12" x14ac:dyDescent="0.2">
      <c r="A389" s="65">
        <v>11486</v>
      </c>
      <c r="B389" s="52" t="s">
        <v>3201</v>
      </c>
      <c r="C389" s="52" t="s">
        <v>3202</v>
      </c>
      <c r="D389" s="53" t="s">
        <v>2496</v>
      </c>
      <c r="E389" s="54" t="s">
        <v>108</v>
      </c>
      <c r="F389" s="54" t="s">
        <v>108</v>
      </c>
    </row>
    <row r="390" spans="1:6" ht="12" x14ac:dyDescent="0.2">
      <c r="A390" s="65">
        <v>11490</v>
      </c>
      <c r="B390" s="52" t="s">
        <v>180</v>
      </c>
      <c r="C390" s="52" t="s">
        <v>3203</v>
      </c>
      <c r="D390" s="53" t="s">
        <v>3204</v>
      </c>
      <c r="E390" s="54" t="s">
        <v>180</v>
      </c>
      <c r="F390" s="54" t="s">
        <v>171</v>
      </c>
    </row>
    <row r="391" spans="1:6" ht="12" x14ac:dyDescent="0.2">
      <c r="A391" s="65">
        <v>11496</v>
      </c>
      <c r="B391" s="52" t="s">
        <v>3205</v>
      </c>
      <c r="C391" s="52" t="s">
        <v>3206</v>
      </c>
      <c r="D391" s="53" t="s">
        <v>3207</v>
      </c>
      <c r="E391" s="54" t="s">
        <v>582</v>
      </c>
      <c r="F391" s="54" t="s">
        <v>48</v>
      </c>
    </row>
    <row r="392" spans="1:6" ht="12" x14ac:dyDescent="0.2">
      <c r="A392" s="65">
        <v>11507</v>
      </c>
      <c r="B392" s="52" t="s">
        <v>1998</v>
      </c>
      <c r="C392" s="52" t="s">
        <v>3208</v>
      </c>
      <c r="D392" s="53" t="s">
        <v>3209</v>
      </c>
      <c r="E392" s="54" t="s">
        <v>1999</v>
      </c>
      <c r="F392" s="54" t="s">
        <v>82</v>
      </c>
    </row>
    <row r="393" spans="1:6" ht="12" x14ac:dyDescent="0.2">
      <c r="A393" s="65">
        <v>11521</v>
      </c>
      <c r="B393" s="52" t="s">
        <v>181</v>
      </c>
      <c r="C393" s="52" t="s">
        <v>3210</v>
      </c>
      <c r="D393" s="53" t="s">
        <v>2555</v>
      </c>
      <c r="E393" s="54" t="s">
        <v>107</v>
      </c>
      <c r="F393" s="54" t="s">
        <v>82</v>
      </c>
    </row>
    <row r="394" spans="1:6" ht="12" x14ac:dyDescent="0.2">
      <c r="A394" s="65">
        <v>11530</v>
      </c>
      <c r="B394" s="52" t="s">
        <v>582</v>
      </c>
      <c r="C394" s="52" t="s">
        <v>1413</v>
      </c>
      <c r="D394" s="53" t="s">
        <v>3207</v>
      </c>
      <c r="E394" s="54" t="s">
        <v>582</v>
      </c>
      <c r="F394" s="54" t="s">
        <v>48</v>
      </c>
    </row>
    <row r="395" spans="1:6" ht="12" x14ac:dyDescent="0.2">
      <c r="A395" s="65">
        <v>11532</v>
      </c>
      <c r="B395" s="52" t="s">
        <v>182</v>
      </c>
      <c r="C395" s="52" t="s">
        <v>3211</v>
      </c>
      <c r="D395" s="53" t="s">
        <v>3212</v>
      </c>
      <c r="E395" s="54" t="s">
        <v>183</v>
      </c>
      <c r="F395" s="54" t="s">
        <v>108</v>
      </c>
    </row>
    <row r="396" spans="1:6" ht="12" x14ac:dyDescent="0.2">
      <c r="A396" s="65">
        <v>11537</v>
      </c>
      <c r="B396" s="52" t="s">
        <v>3213</v>
      </c>
      <c r="C396" s="52" t="s">
        <v>3214</v>
      </c>
      <c r="D396" s="53" t="s">
        <v>3215</v>
      </c>
      <c r="E396" s="54" t="s">
        <v>583</v>
      </c>
      <c r="F396" s="54" t="s">
        <v>174</v>
      </c>
    </row>
    <row r="397" spans="1:6" ht="12" x14ac:dyDescent="0.2">
      <c r="A397" s="65">
        <v>11544</v>
      </c>
      <c r="B397" s="52" t="s">
        <v>584</v>
      </c>
      <c r="C397" s="52" t="s">
        <v>3216</v>
      </c>
      <c r="D397" s="53" t="s">
        <v>3217</v>
      </c>
      <c r="E397" s="54" t="s">
        <v>585</v>
      </c>
      <c r="F397" s="54" t="s">
        <v>116</v>
      </c>
    </row>
    <row r="398" spans="1:6" ht="12" x14ac:dyDescent="0.2">
      <c r="A398" s="65">
        <v>11551</v>
      </c>
      <c r="B398" s="52" t="s">
        <v>2073</v>
      </c>
      <c r="C398" s="52" t="s">
        <v>3218</v>
      </c>
      <c r="D398" s="53" t="s">
        <v>3219</v>
      </c>
      <c r="E398" s="54" t="s">
        <v>2074</v>
      </c>
      <c r="F398" s="54" t="s">
        <v>179</v>
      </c>
    </row>
    <row r="399" spans="1:6" ht="12" x14ac:dyDescent="0.2">
      <c r="A399" s="65">
        <v>11562</v>
      </c>
      <c r="B399" s="52" t="s">
        <v>1415</v>
      </c>
      <c r="C399" s="52" t="s">
        <v>3220</v>
      </c>
      <c r="D399" s="53" t="s">
        <v>3221</v>
      </c>
      <c r="E399" s="54" t="s">
        <v>1416</v>
      </c>
      <c r="F399" s="54" t="s">
        <v>48</v>
      </c>
    </row>
    <row r="400" spans="1:6" ht="12" x14ac:dyDescent="0.2">
      <c r="A400" s="65">
        <v>11564</v>
      </c>
      <c r="B400" s="52" t="s">
        <v>1417</v>
      </c>
      <c r="C400" s="52" t="s">
        <v>3222</v>
      </c>
      <c r="D400" s="53" t="s">
        <v>3223</v>
      </c>
      <c r="E400" s="54" t="s">
        <v>1418</v>
      </c>
      <c r="F400" s="54" t="s">
        <v>50</v>
      </c>
    </row>
    <row r="401" spans="1:6" ht="12" x14ac:dyDescent="0.2">
      <c r="A401" s="65">
        <v>11573</v>
      </c>
      <c r="B401" s="52" t="s">
        <v>3224</v>
      </c>
      <c r="C401" s="52" t="s">
        <v>3225</v>
      </c>
      <c r="D401" s="53" t="s">
        <v>3226</v>
      </c>
      <c r="E401" s="54" t="s">
        <v>65</v>
      </c>
      <c r="F401" s="54" t="s">
        <v>65</v>
      </c>
    </row>
    <row r="402" spans="1:6" ht="12" x14ac:dyDescent="0.2">
      <c r="A402" s="65">
        <v>11577</v>
      </c>
      <c r="B402" s="52" t="s">
        <v>586</v>
      </c>
      <c r="C402" s="52" t="s">
        <v>3227</v>
      </c>
      <c r="D402" s="53" t="s">
        <v>3228</v>
      </c>
      <c r="E402" s="54" t="s">
        <v>586</v>
      </c>
      <c r="F402" s="54" t="s">
        <v>97</v>
      </c>
    </row>
    <row r="403" spans="1:6" ht="12" x14ac:dyDescent="0.2">
      <c r="A403" s="65">
        <v>11587</v>
      </c>
      <c r="B403" s="52" t="s">
        <v>587</v>
      </c>
      <c r="C403" s="52" t="s">
        <v>3229</v>
      </c>
      <c r="D403" s="53" t="s">
        <v>3230</v>
      </c>
      <c r="E403" s="54" t="s">
        <v>588</v>
      </c>
      <c r="F403" s="54" t="s">
        <v>63</v>
      </c>
    </row>
    <row r="404" spans="1:6" ht="12" x14ac:dyDescent="0.2">
      <c r="A404" s="65">
        <v>11599</v>
      </c>
      <c r="B404" s="52" t="s">
        <v>1419</v>
      </c>
      <c r="C404" s="52" t="s">
        <v>3231</v>
      </c>
      <c r="D404" s="53" t="s">
        <v>3232</v>
      </c>
      <c r="E404" s="54" t="s">
        <v>1419</v>
      </c>
      <c r="F404" s="54" t="s">
        <v>37</v>
      </c>
    </row>
    <row r="405" spans="1:6" ht="12" x14ac:dyDescent="0.2">
      <c r="A405" s="65">
        <v>11619</v>
      </c>
      <c r="B405" s="52" t="s">
        <v>1420</v>
      </c>
      <c r="C405" s="52" t="s">
        <v>3233</v>
      </c>
      <c r="D405" s="53" t="s">
        <v>3234</v>
      </c>
      <c r="E405" s="54" t="s">
        <v>1421</v>
      </c>
      <c r="F405" s="54" t="s">
        <v>37</v>
      </c>
    </row>
    <row r="406" spans="1:6" ht="12" x14ac:dyDescent="0.2">
      <c r="A406" s="65">
        <v>11622</v>
      </c>
      <c r="B406" s="52" t="s">
        <v>184</v>
      </c>
      <c r="C406" s="52" t="s">
        <v>3235</v>
      </c>
      <c r="D406" s="53" t="s">
        <v>2456</v>
      </c>
      <c r="E406" s="54" t="s">
        <v>185</v>
      </c>
      <c r="F406" s="54" t="s">
        <v>152</v>
      </c>
    </row>
    <row r="407" spans="1:6" ht="12" x14ac:dyDescent="0.2">
      <c r="A407" s="65">
        <v>11623</v>
      </c>
      <c r="B407" s="52" t="s">
        <v>2000</v>
      </c>
      <c r="C407" s="52" t="s">
        <v>3236</v>
      </c>
      <c r="D407" s="53" t="s">
        <v>2487</v>
      </c>
      <c r="E407" s="54" t="s">
        <v>590</v>
      </c>
      <c r="F407" s="54" t="s">
        <v>152</v>
      </c>
    </row>
    <row r="408" spans="1:6" ht="12" x14ac:dyDescent="0.2">
      <c r="A408" s="65">
        <v>11624</v>
      </c>
      <c r="B408" s="52" t="s">
        <v>589</v>
      </c>
      <c r="C408" s="52" t="s">
        <v>3237</v>
      </c>
      <c r="D408" s="53" t="s">
        <v>2487</v>
      </c>
      <c r="E408" s="54" t="s">
        <v>590</v>
      </c>
      <c r="F408" s="54" t="s">
        <v>152</v>
      </c>
    </row>
    <row r="409" spans="1:6" ht="12" x14ac:dyDescent="0.2">
      <c r="A409" s="65">
        <v>11644</v>
      </c>
      <c r="B409" s="52" t="s">
        <v>3238</v>
      </c>
      <c r="C409" s="52" t="s">
        <v>3239</v>
      </c>
      <c r="D409" s="53" t="s">
        <v>3240</v>
      </c>
      <c r="E409" s="54" t="s">
        <v>3238</v>
      </c>
      <c r="F409" s="54" t="s">
        <v>42</v>
      </c>
    </row>
    <row r="410" spans="1:6" ht="12" x14ac:dyDescent="0.2">
      <c r="A410" s="65">
        <v>11653</v>
      </c>
      <c r="B410" s="52" t="s">
        <v>186</v>
      </c>
      <c r="C410" s="52" t="s">
        <v>3241</v>
      </c>
      <c r="D410" s="53" t="s">
        <v>3242</v>
      </c>
      <c r="E410" s="54" t="s">
        <v>3243</v>
      </c>
      <c r="F410" s="54" t="s">
        <v>82</v>
      </c>
    </row>
    <row r="411" spans="1:6" ht="12" x14ac:dyDescent="0.2">
      <c r="A411" s="65">
        <v>11657</v>
      </c>
      <c r="B411" s="52" t="s">
        <v>1422</v>
      </c>
      <c r="C411" s="52" t="s">
        <v>3244</v>
      </c>
      <c r="D411" s="53" t="s">
        <v>3245</v>
      </c>
      <c r="E411" s="54" t="s">
        <v>350</v>
      </c>
      <c r="F411" s="54" t="s">
        <v>108</v>
      </c>
    </row>
    <row r="412" spans="1:6" ht="12" x14ac:dyDescent="0.2">
      <c r="A412" s="65">
        <v>11660</v>
      </c>
      <c r="B412" s="52" t="s">
        <v>3246</v>
      </c>
      <c r="C412" s="52" t="s">
        <v>3247</v>
      </c>
      <c r="D412" s="53" t="s">
        <v>3023</v>
      </c>
      <c r="E412" s="54" t="s">
        <v>1072</v>
      </c>
      <c r="F412" s="54" t="s">
        <v>84</v>
      </c>
    </row>
    <row r="413" spans="1:6" ht="12" x14ac:dyDescent="0.2">
      <c r="A413" s="65">
        <v>11665</v>
      </c>
      <c r="B413" s="52" t="s">
        <v>3248</v>
      </c>
      <c r="C413" s="52" t="s">
        <v>3249</v>
      </c>
      <c r="D413" s="53" t="s">
        <v>3250</v>
      </c>
      <c r="E413" s="54" t="s">
        <v>592</v>
      </c>
      <c r="F413" s="54" t="s">
        <v>154</v>
      </c>
    </row>
    <row r="414" spans="1:6" ht="12" x14ac:dyDescent="0.2">
      <c r="A414" s="65">
        <v>11669</v>
      </c>
      <c r="B414" s="52" t="s">
        <v>593</v>
      </c>
      <c r="C414" s="52" t="s">
        <v>3251</v>
      </c>
      <c r="D414" s="53" t="s">
        <v>3252</v>
      </c>
      <c r="E414" s="54" t="s">
        <v>593</v>
      </c>
      <c r="F414" s="54" t="s">
        <v>158</v>
      </c>
    </row>
    <row r="415" spans="1:6" ht="12" x14ac:dyDescent="0.2">
      <c r="A415" s="65">
        <v>11674</v>
      </c>
      <c r="B415" s="52" t="s">
        <v>1423</v>
      </c>
      <c r="C415" s="52" t="s">
        <v>3253</v>
      </c>
      <c r="D415" s="53" t="s">
        <v>3254</v>
      </c>
      <c r="E415" s="54" t="s">
        <v>926</v>
      </c>
      <c r="F415" s="54" t="s">
        <v>253</v>
      </c>
    </row>
    <row r="416" spans="1:6" ht="12" x14ac:dyDescent="0.2">
      <c r="A416" s="65">
        <v>11681</v>
      </c>
      <c r="B416" s="52" t="s">
        <v>187</v>
      </c>
      <c r="C416" s="52" t="s">
        <v>3255</v>
      </c>
      <c r="D416" s="53" t="s">
        <v>3256</v>
      </c>
      <c r="E416" s="54" t="s">
        <v>3257</v>
      </c>
      <c r="F416" s="54" t="s">
        <v>38</v>
      </c>
    </row>
    <row r="417" spans="1:6" ht="12" x14ac:dyDescent="0.2">
      <c r="A417" s="65">
        <v>11691</v>
      </c>
      <c r="B417" s="52" t="s">
        <v>1424</v>
      </c>
      <c r="C417" s="52" t="s">
        <v>3258</v>
      </c>
      <c r="D417" s="53" t="s">
        <v>3259</v>
      </c>
      <c r="E417" s="54" t="s">
        <v>1424</v>
      </c>
      <c r="F417" s="54" t="s">
        <v>48</v>
      </c>
    </row>
    <row r="418" spans="1:6" ht="12" x14ac:dyDescent="0.2">
      <c r="A418" s="65">
        <v>11692</v>
      </c>
      <c r="B418" s="52" t="s">
        <v>3260</v>
      </c>
      <c r="C418" s="52" t="s">
        <v>3261</v>
      </c>
      <c r="D418" s="53" t="s">
        <v>3262</v>
      </c>
      <c r="E418" s="54" t="s">
        <v>701</v>
      </c>
      <c r="F418" s="54" t="s">
        <v>342</v>
      </c>
    </row>
    <row r="419" spans="1:6" ht="12" x14ac:dyDescent="0.2">
      <c r="A419" s="65">
        <v>11698</v>
      </c>
      <c r="B419" s="52" t="s">
        <v>3263</v>
      </c>
      <c r="C419" s="52" t="s">
        <v>3264</v>
      </c>
      <c r="D419" s="53" t="s">
        <v>3265</v>
      </c>
      <c r="E419" s="54" t="s">
        <v>188</v>
      </c>
      <c r="F419" s="54" t="s">
        <v>174</v>
      </c>
    </row>
    <row r="420" spans="1:6" ht="12" x14ac:dyDescent="0.2">
      <c r="A420" s="65">
        <v>11698</v>
      </c>
      <c r="B420" s="52" t="s">
        <v>3263</v>
      </c>
      <c r="C420" s="52" t="s">
        <v>3264</v>
      </c>
      <c r="D420" s="53" t="s">
        <v>3265</v>
      </c>
      <c r="E420" s="54" t="s">
        <v>188</v>
      </c>
      <c r="F420" s="54" t="s">
        <v>174</v>
      </c>
    </row>
    <row r="421" spans="1:6" ht="12" x14ac:dyDescent="0.2">
      <c r="A421" s="65">
        <v>11707</v>
      </c>
      <c r="B421" s="52" t="s">
        <v>189</v>
      </c>
      <c r="C421" s="52" t="s">
        <v>3266</v>
      </c>
      <c r="D421" s="53" t="s">
        <v>3267</v>
      </c>
      <c r="E421" s="54" t="s">
        <v>190</v>
      </c>
      <c r="F421" s="54" t="s">
        <v>152</v>
      </c>
    </row>
    <row r="422" spans="1:6" ht="12" x14ac:dyDescent="0.2">
      <c r="A422" s="65">
        <v>11712</v>
      </c>
      <c r="B422" s="52" t="s">
        <v>1425</v>
      </c>
      <c r="C422" s="52" t="s">
        <v>3268</v>
      </c>
      <c r="D422" s="53" t="s">
        <v>3269</v>
      </c>
      <c r="E422" s="54" t="s">
        <v>1426</v>
      </c>
      <c r="F422" s="54" t="s">
        <v>38</v>
      </c>
    </row>
    <row r="423" spans="1:6" ht="12" x14ac:dyDescent="0.2">
      <c r="A423" s="65">
        <v>11725</v>
      </c>
      <c r="B423" s="52" t="s">
        <v>3270</v>
      </c>
      <c r="C423" s="52" t="s">
        <v>3271</v>
      </c>
      <c r="D423" s="53" t="s">
        <v>3272</v>
      </c>
      <c r="E423" s="54" t="s">
        <v>594</v>
      </c>
      <c r="F423" s="54" t="s">
        <v>332</v>
      </c>
    </row>
    <row r="424" spans="1:6" ht="12" x14ac:dyDescent="0.2">
      <c r="A424" s="65">
        <v>11726</v>
      </c>
      <c r="B424" s="52" t="s">
        <v>191</v>
      </c>
      <c r="C424" s="52" t="s">
        <v>3273</v>
      </c>
      <c r="D424" s="53" t="s">
        <v>3274</v>
      </c>
      <c r="E424" s="54" t="s">
        <v>191</v>
      </c>
      <c r="F424" s="54" t="s">
        <v>84</v>
      </c>
    </row>
    <row r="425" spans="1:6" ht="12" x14ac:dyDescent="0.2">
      <c r="A425" s="65">
        <v>11731</v>
      </c>
      <c r="B425" s="52" t="s">
        <v>3275</v>
      </c>
      <c r="C425" s="52" t="s">
        <v>3276</v>
      </c>
      <c r="D425" s="53" t="s">
        <v>3277</v>
      </c>
      <c r="E425" s="54" t="s">
        <v>3278</v>
      </c>
      <c r="F425" s="54" t="s">
        <v>112</v>
      </c>
    </row>
    <row r="426" spans="1:6" ht="12" x14ac:dyDescent="0.2">
      <c r="A426" s="65">
        <v>11731</v>
      </c>
      <c r="B426" s="52" t="s">
        <v>3275</v>
      </c>
      <c r="C426" s="52" t="s">
        <v>3276</v>
      </c>
      <c r="D426" s="53" t="s">
        <v>3277</v>
      </c>
      <c r="E426" s="54" t="s">
        <v>3278</v>
      </c>
      <c r="F426" s="54" t="s">
        <v>112</v>
      </c>
    </row>
    <row r="427" spans="1:6" ht="12" x14ac:dyDescent="0.2">
      <c r="A427" s="65">
        <v>11735</v>
      </c>
      <c r="B427" s="52" t="s">
        <v>192</v>
      </c>
      <c r="C427" s="52" t="s">
        <v>3279</v>
      </c>
      <c r="D427" s="53" t="s">
        <v>3280</v>
      </c>
      <c r="E427" s="54" t="s">
        <v>193</v>
      </c>
      <c r="F427" s="54" t="s">
        <v>112</v>
      </c>
    </row>
    <row r="428" spans="1:6" ht="12" x14ac:dyDescent="0.2">
      <c r="A428" s="65">
        <v>11742</v>
      </c>
      <c r="B428" s="52" t="s">
        <v>3281</v>
      </c>
      <c r="C428" s="52" t="s">
        <v>3282</v>
      </c>
      <c r="D428" s="53" t="s">
        <v>3283</v>
      </c>
      <c r="E428" s="54" t="s">
        <v>253</v>
      </c>
      <c r="F428" s="54" t="s">
        <v>253</v>
      </c>
    </row>
    <row r="429" spans="1:6" ht="12" x14ac:dyDescent="0.2">
      <c r="A429" s="65">
        <v>11744</v>
      </c>
      <c r="B429" s="52" t="s">
        <v>1427</v>
      </c>
      <c r="C429" s="52" t="s">
        <v>3284</v>
      </c>
      <c r="D429" s="53" t="s">
        <v>3285</v>
      </c>
      <c r="E429" s="54" t="s">
        <v>1427</v>
      </c>
      <c r="F429" s="54" t="s">
        <v>50</v>
      </c>
    </row>
    <row r="430" spans="1:6" ht="12" x14ac:dyDescent="0.2">
      <c r="A430" s="65">
        <v>11751</v>
      </c>
      <c r="B430" s="52" t="s">
        <v>2055</v>
      </c>
      <c r="C430" s="52" t="s">
        <v>3286</v>
      </c>
      <c r="D430" s="53" t="s">
        <v>3287</v>
      </c>
      <c r="E430" s="54" t="s">
        <v>1238</v>
      </c>
      <c r="F430" s="54" t="s">
        <v>174</v>
      </c>
    </row>
    <row r="431" spans="1:6" ht="12" x14ac:dyDescent="0.2">
      <c r="A431" s="65">
        <v>11782</v>
      </c>
      <c r="B431" s="52" t="s">
        <v>1428</v>
      </c>
      <c r="C431" s="52" t="s">
        <v>3288</v>
      </c>
      <c r="D431" s="53" t="s">
        <v>3289</v>
      </c>
      <c r="E431" s="54" t="s">
        <v>1429</v>
      </c>
      <c r="F431" s="54" t="s">
        <v>174</v>
      </c>
    </row>
    <row r="432" spans="1:6" ht="12" x14ac:dyDescent="0.2">
      <c r="A432" s="65">
        <v>11783</v>
      </c>
      <c r="B432" s="52" t="s">
        <v>2079</v>
      </c>
      <c r="C432" s="52" t="s">
        <v>3290</v>
      </c>
      <c r="D432" s="53" t="s">
        <v>3291</v>
      </c>
      <c r="E432" s="54" t="s">
        <v>2081</v>
      </c>
      <c r="F432" s="54" t="s">
        <v>65</v>
      </c>
    </row>
    <row r="433" spans="1:6" ht="12" x14ac:dyDescent="0.2">
      <c r="A433" s="65">
        <v>11791</v>
      </c>
      <c r="B433" s="52" t="s">
        <v>2001</v>
      </c>
      <c r="C433" s="52" t="s">
        <v>2002</v>
      </c>
      <c r="D433" s="53" t="s">
        <v>3292</v>
      </c>
      <c r="E433" s="54" t="s">
        <v>2001</v>
      </c>
      <c r="F433" s="54" t="s">
        <v>65</v>
      </c>
    </row>
    <row r="434" spans="1:6" ht="12" x14ac:dyDescent="0.2">
      <c r="A434" s="65">
        <v>11797</v>
      </c>
      <c r="B434" s="52" t="s">
        <v>3293</v>
      </c>
      <c r="C434" s="52" t="s">
        <v>3294</v>
      </c>
      <c r="D434" s="53" t="s">
        <v>3295</v>
      </c>
      <c r="E434" s="54" t="s">
        <v>3296</v>
      </c>
      <c r="F434" s="54" t="s">
        <v>108</v>
      </c>
    </row>
    <row r="435" spans="1:6" ht="12" x14ac:dyDescent="0.2">
      <c r="A435" s="65">
        <v>11807</v>
      </c>
      <c r="B435" s="52" t="s">
        <v>595</v>
      </c>
      <c r="C435" s="52" t="s">
        <v>3297</v>
      </c>
      <c r="D435" s="53" t="s">
        <v>3298</v>
      </c>
      <c r="E435" s="54" t="s">
        <v>595</v>
      </c>
      <c r="F435" s="54" t="s">
        <v>80</v>
      </c>
    </row>
    <row r="436" spans="1:6" ht="12" x14ac:dyDescent="0.2">
      <c r="A436" s="65">
        <v>11824</v>
      </c>
      <c r="B436" s="52" t="s">
        <v>3299</v>
      </c>
      <c r="C436" s="52" t="s">
        <v>3300</v>
      </c>
      <c r="D436" s="53" t="s">
        <v>3301</v>
      </c>
      <c r="E436" s="54" t="s">
        <v>3302</v>
      </c>
      <c r="F436" s="54" t="s">
        <v>97</v>
      </c>
    </row>
    <row r="437" spans="1:6" ht="12" x14ac:dyDescent="0.2">
      <c r="A437" s="65">
        <v>11824</v>
      </c>
      <c r="B437" s="52" t="s">
        <v>3299</v>
      </c>
      <c r="C437" s="52" t="s">
        <v>3300</v>
      </c>
      <c r="D437" s="53" t="s">
        <v>3301</v>
      </c>
      <c r="E437" s="54" t="s">
        <v>3302</v>
      </c>
      <c r="F437" s="54" t="s">
        <v>97</v>
      </c>
    </row>
    <row r="438" spans="1:6" ht="12" x14ac:dyDescent="0.2">
      <c r="A438" s="65">
        <v>11836</v>
      </c>
      <c r="B438" s="52" t="s">
        <v>1430</v>
      </c>
      <c r="C438" s="52" t="s">
        <v>3303</v>
      </c>
      <c r="D438" s="53" t="s">
        <v>3304</v>
      </c>
      <c r="E438" s="54" t="s">
        <v>1430</v>
      </c>
      <c r="F438" s="54" t="s">
        <v>84</v>
      </c>
    </row>
    <row r="439" spans="1:6" ht="12" x14ac:dyDescent="0.2">
      <c r="A439" s="65">
        <v>11838</v>
      </c>
      <c r="B439" s="52" t="s">
        <v>3305</v>
      </c>
      <c r="C439" s="52" t="s">
        <v>3306</v>
      </c>
      <c r="D439" s="53" t="s">
        <v>3307</v>
      </c>
      <c r="E439" s="54" t="s">
        <v>3308</v>
      </c>
      <c r="F439" s="54" t="s">
        <v>51</v>
      </c>
    </row>
    <row r="440" spans="1:6" ht="12" x14ac:dyDescent="0.2">
      <c r="A440" s="65">
        <v>11853</v>
      </c>
      <c r="B440" s="52" t="s">
        <v>596</v>
      </c>
      <c r="C440" s="52" t="s">
        <v>3309</v>
      </c>
      <c r="D440" s="53" t="s">
        <v>3310</v>
      </c>
      <c r="E440" s="54" t="s">
        <v>253</v>
      </c>
      <c r="F440" s="54" t="s">
        <v>253</v>
      </c>
    </row>
    <row r="441" spans="1:6" ht="12" x14ac:dyDescent="0.2">
      <c r="A441" s="65">
        <v>11881</v>
      </c>
      <c r="B441" s="52" t="s">
        <v>1431</v>
      </c>
      <c r="C441" s="52" t="s">
        <v>3311</v>
      </c>
      <c r="D441" s="53" t="s">
        <v>3312</v>
      </c>
      <c r="E441" s="54" t="s">
        <v>1432</v>
      </c>
      <c r="F441" s="54" t="s">
        <v>253</v>
      </c>
    </row>
    <row r="442" spans="1:6" ht="12" x14ac:dyDescent="0.2">
      <c r="A442" s="65">
        <v>11882</v>
      </c>
      <c r="B442" s="52" t="s">
        <v>1086</v>
      </c>
      <c r="C442" s="52" t="s">
        <v>3313</v>
      </c>
      <c r="D442" s="53" t="s">
        <v>3314</v>
      </c>
      <c r="E442" s="54" t="s">
        <v>934</v>
      </c>
      <c r="F442" s="54" t="s">
        <v>82</v>
      </c>
    </row>
    <row r="443" spans="1:6" ht="12" x14ac:dyDescent="0.2">
      <c r="A443" s="65">
        <v>11892</v>
      </c>
      <c r="B443" s="52" t="s">
        <v>597</v>
      </c>
      <c r="C443" s="52" t="s">
        <v>3315</v>
      </c>
      <c r="D443" s="53" t="s">
        <v>3316</v>
      </c>
      <c r="E443" s="54" t="s">
        <v>598</v>
      </c>
      <c r="F443" s="54" t="s">
        <v>211</v>
      </c>
    </row>
    <row r="444" spans="1:6" ht="12" x14ac:dyDescent="0.2">
      <c r="A444" s="65">
        <v>11909</v>
      </c>
      <c r="B444" s="52" t="s">
        <v>573</v>
      </c>
      <c r="C444" s="52" t="s">
        <v>3317</v>
      </c>
      <c r="D444" s="53" t="s">
        <v>3132</v>
      </c>
      <c r="E444" s="54" t="s">
        <v>573</v>
      </c>
      <c r="F444" s="54" t="s">
        <v>51</v>
      </c>
    </row>
    <row r="445" spans="1:6" ht="12" x14ac:dyDescent="0.2">
      <c r="A445" s="65">
        <v>11921</v>
      </c>
      <c r="B445" s="52" t="s">
        <v>194</v>
      </c>
      <c r="C445" s="52" t="s">
        <v>3318</v>
      </c>
      <c r="D445" s="53" t="s">
        <v>3319</v>
      </c>
      <c r="E445" s="54" t="s">
        <v>195</v>
      </c>
      <c r="F445" s="54" t="s">
        <v>158</v>
      </c>
    </row>
    <row r="446" spans="1:6" ht="12" x14ac:dyDescent="0.2">
      <c r="A446" s="65">
        <v>11939</v>
      </c>
      <c r="B446" s="52" t="s">
        <v>3320</v>
      </c>
      <c r="C446" s="52" t="s">
        <v>3321</v>
      </c>
      <c r="D446" s="53" t="s">
        <v>3322</v>
      </c>
      <c r="E446" s="54" t="s">
        <v>3320</v>
      </c>
      <c r="F446" s="54" t="s">
        <v>2840</v>
      </c>
    </row>
    <row r="447" spans="1:6" ht="12" x14ac:dyDescent="0.2">
      <c r="A447" s="65">
        <v>11948</v>
      </c>
      <c r="B447" s="52" t="s">
        <v>3323</v>
      </c>
      <c r="C447" s="52" t="s">
        <v>3324</v>
      </c>
      <c r="D447" s="53" t="s">
        <v>3028</v>
      </c>
      <c r="E447" s="54" t="s">
        <v>163</v>
      </c>
      <c r="F447" s="54" t="s">
        <v>135</v>
      </c>
    </row>
    <row r="448" spans="1:6" ht="12" x14ac:dyDescent="0.2">
      <c r="A448" s="65">
        <v>11949</v>
      </c>
      <c r="B448" s="52" t="s">
        <v>599</v>
      </c>
      <c r="C448" s="52" t="s">
        <v>3325</v>
      </c>
      <c r="D448" s="53" t="s">
        <v>3326</v>
      </c>
      <c r="E448" s="54" t="s">
        <v>599</v>
      </c>
      <c r="F448" s="54" t="s">
        <v>135</v>
      </c>
    </row>
    <row r="449" spans="1:6" ht="12" x14ac:dyDescent="0.2">
      <c r="A449" s="65">
        <v>11970</v>
      </c>
      <c r="B449" s="52" t="s">
        <v>1433</v>
      </c>
      <c r="C449" s="52" t="s">
        <v>3327</v>
      </c>
      <c r="D449" s="53" t="s">
        <v>3328</v>
      </c>
      <c r="E449" s="54" t="s">
        <v>1434</v>
      </c>
      <c r="F449" s="54" t="s">
        <v>176</v>
      </c>
    </row>
    <row r="450" spans="1:6" ht="12" x14ac:dyDescent="0.2">
      <c r="A450" s="65">
        <v>11971</v>
      </c>
      <c r="B450" s="52" t="s">
        <v>1435</v>
      </c>
      <c r="C450" s="52" t="s">
        <v>3327</v>
      </c>
      <c r="D450" s="53" t="s">
        <v>3328</v>
      </c>
      <c r="E450" s="54" t="s">
        <v>1434</v>
      </c>
      <c r="F450" s="54" t="s">
        <v>176</v>
      </c>
    </row>
    <row r="451" spans="1:6" ht="12" x14ac:dyDescent="0.2">
      <c r="A451" s="65">
        <v>11980</v>
      </c>
      <c r="B451" s="52" t="s">
        <v>600</v>
      </c>
      <c r="C451" s="52" t="s">
        <v>3329</v>
      </c>
      <c r="D451" s="53" t="s">
        <v>3330</v>
      </c>
      <c r="E451" s="54" t="s">
        <v>152</v>
      </c>
      <c r="F451" s="54" t="s">
        <v>152</v>
      </c>
    </row>
    <row r="452" spans="1:6" ht="12" x14ac:dyDescent="0.2">
      <c r="A452" s="65">
        <v>11983</v>
      </c>
      <c r="B452" s="52" t="s">
        <v>601</v>
      </c>
      <c r="C452" s="52" t="s">
        <v>3331</v>
      </c>
      <c r="D452" s="53" t="s">
        <v>3332</v>
      </c>
      <c r="E452" s="54" t="s">
        <v>602</v>
      </c>
      <c r="F452" s="54" t="s">
        <v>152</v>
      </c>
    </row>
    <row r="453" spans="1:6" ht="12" x14ac:dyDescent="0.2">
      <c r="A453" s="65">
        <v>12019</v>
      </c>
      <c r="B453" s="52" t="s">
        <v>603</v>
      </c>
      <c r="C453" s="52" t="s">
        <v>3333</v>
      </c>
      <c r="D453" s="53" t="s">
        <v>3334</v>
      </c>
      <c r="E453" s="52" t="s">
        <v>66</v>
      </c>
      <c r="F453" s="52" t="s">
        <v>112</v>
      </c>
    </row>
    <row r="454" spans="1:6" ht="12" x14ac:dyDescent="0.2">
      <c r="A454" s="65">
        <v>12029</v>
      </c>
      <c r="B454" s="52" t="s">
        <v>2003</v>
      </c>
      <c r="C454" s="52" t="s">
        <v>3335</v>
      </c>
      <c r="D454" s="53" t="s">
        <v>3336</v>
      </c>
      <c r="E454" s="54" t="s">
        <v>2003</v>
      </c>
      <c r="F454" s="54" t="s">
        <v>640</v>
      </c>
    </row>
    <row r="455" spans="1:6" ht="12" x14ac:dyDescent="0.2">
      <c r="A455" s="65">
        <v>12066</v>
      </c>
      <c r="B455" s="52" t="s">
        <v>149</v>
      </c>
      <c r="C455" s="52" t="s">
        <v>3337</v>
      </c>
      <c r="D455" s="53" t="s">
        <v>3338</v>
      </c>
      <c r="E455" s="54" t="s">
        <v>1967</v>
      </c>
      <c r="F455" s="54" t="s">
        <v>89</v>
      </c>
    </row>
    <row r="456" spans="1:6" ht="12" x14ac:dyDescent="0.2">
      <c r="A456" s="65">
        <v>12069</v>
      </c>
      <c r="B456" s="52" t="s">
        <v>1919</v>
      </c>
      <c r="C456" s="52" t="s">
        <v>3339</v>
      </c>
      <c r="D456" s="53" t="s">
        <v>3340</v>
      </c>
      <c r="E456" s="54" t="s">
        <v>604</v>
      </c>
      <c r="F456" s="54" t="s">
        <v>211</v>
      </c>
    </row>
    <row r="457" spans="1:6" ht="12" x14ac:dyDescent="0.2">
      <c r="A457" s="65">
        <v>12091</v>
      </c>
      <c r="B457" s="52" t="s">
        <v>1436</v>
      </c>
      <c r="C457" s="52" t="s">
        <v>3341</v>
      </c>
      <c r="D457" s="53" t="s">
        <v>3342</v>
      </c>
      <c r="E457" s="54" t="s">
        <v>1436</v>
      </c>
      <c r="F457" s="54" t="s">
        <v>332</v>
      </c>
    </row>
    <row r="458" spans="1:6" ht="12" x14ac:dyDescent="0.2">
      <c r="A458" s="65">
        <v>12099</v>
      </c>
      <c r="B458" s="52" t="s">
        <v>196</v>
      </c>
      <c r="C458" s="52" t="s">
        <v>3343</v>
      </c>
      <c r="D458" s="53" t="s">
        <v>3344</v>
      </c>
      <c r="E458" s="54" t="s">
        <v>197</v>
      </c>
      <c r="F458" s="54" t="s">
        <v>82</v>
      </c>
    </row>
    <row r="459" spans="1:6" ht="12" x14ac:dyDescent="0.2">
      <c r="A459" s="65">
        <v>12100</v>
      </c>
      <c r="B459" s="52" t="s">
        <v>605</v>
      </c>
      <c r="C459" s="52" t="s">
        <v>3346</v>
      </c>
      <c r="D459" s="53" t="s">
        <v>3028</v>
      </c>
      <c r="E459" s="54" t="s">
        <v>163</v>
      </c>
      <c r="F459" s="54" t="s">
        <v>135</v>
      </c>
    </row>
    <row r="460" spans="1:6" ht="12" x14ac:dyDescent="0.2">
      <c r="A460" s="65">
        <v>12119</v>
      </c>
      <c r="B460" s="52" t="s">
        <v>3347</v>
      </c>
      <c r="C460" s="52" t="s">
        <v>3348</v>
      </c>
      <c r="D460" s="53" t="s">
        <v>3349</v>
      </c>
      <c r="E460" s="54" t="s">
        <v>1887</v>
      </c>
      <c r="F460" s="54" t="s">
        <v>211</v>
      </c>
    </row>
    <row r="461" spans="1:6" ht="12" x14ac:dyDescent="0.2">
      <c r="A461" s="65">
        <v>12124</v>
      </c>
      <c r="B461" s="52" t="s">
        <v>374</v>
      </c>
      <c r="C461" s="52" t="s">
        <v>3350</v>
      </c>
      <c r="D461" s="53" t="s">
        <v>3351</v>
      </c>
      <c r="E461" s="54" t="s">
        <v>374</v>
      </c>
      <c r="F461" s="54" t="s">
        <v>135</v>
      </c>
    </row>
    <row r="462" spans="1:6" ht="12" x14ac:dyDescent="0.2">
      <c r="A462" s="65">
        <v>12129</v>
      </c>
      <c r="B462" s="52" t="s">
        <v>1437</v>
      </c>
      <c r="C462" s="52" t="s">
        <v>3352</v>
      </c>
      <c r="D462" s="53" t="s">
        <v>3353</v>
      </c>
      <c r="E462" s="54" t="s">
        <v>1439</v>
      </c>
      <c r="F462" s="54" t="s">
        <v>112</v>
      </c>
    </row>
    <row r="463" spans="1:6" ht="12" x14ac:dyDescent="0.2">
      <c r="A463" s="65">
        <v>12131</v>
      </c>
      <c r="B463" s="52" t="s">
        <v>3354</v>
      </c>
      <c r="C463" s="52" t="s">
        <v>3355</v>
      </c>
      <c r="D463" s="53" t="s">
        <v>3356</v>
      </c>
      <c r="E463" s="54" t="s">
        <v>253</v>
      </c>
      <c r="F463" s="54" t="s">
        <v>253</v>
      </c>
    </row>
    <row r="464" spans="1:6" ht="12" x14ac:dyDescent="0.2">
      <c r="A464" s="65">
        <v>12139</v>
      </c>
      <c r="B464" s="52" t="s">
        <v>1087</v>
      </c>
      <c r="C464" s="52" t="s">
        <v>3357</v>
      </c>
      <c r="D464" s="53" t="s">
        <v>2487</v>
      </c>
      <c r="E464" s="54" t="s">
        <v>590</v>
      </c>
      <c r="F464" s="54" t="s">
        <v>152</v>
      </c>
    </row>
    <row r="465" spans="1:6" ht="12" x14ac:dyDescent="0.2">
      <c r="A465" s="65">
        <v>12151</v>
      </c>
      <c r="B465" s="52" t="s">
        <v>2090</v>
      </c>
      <c r="C465" s="52" t="s">
        <v>3358</v>
      </c>
      <c r="D465" s="53" t="s">
        <v>3359</v>
      </c>
      <c r="E465" s="54" t="s">
        <v>84</v>
      </c>
      <c r="F465" s="54" t="s">
        <v>84</v>
      </c>
    </row>
    <row r="466" spans="1:6" ht="12" x14ac:dyDescent="0.2">
      <c r="A466" s="65">
        <v>12154</v>
      </c>
      <c r="B466" s="52" t="s">
        <v>1440</v>
      </c>
      <c r="C466" s="52" t="s">
        <v>3360</v>
      </c>
      <c r="D466" s="53" t="s">
        <v>3361</v>
      </c>
      <c r="E466" s="54" t="s">
        <v>1441</v>
      </c>
      <c r="F466" s="54" t="s">
        <v>80</v>
      </c>
    </row>
    <row r="467" spans="1:6" ht="12" x14ac:dyDescent="0.2">
      <c r="A467" s="65">
        <v>12155</v>
      </c>
      <c r="B467" s="52" t="s">
        <v>198</v>
      </c>
      <c r="C467" s="52" t="s">
        <v>3362</v>
      </c>
      <c r="D467" s="53" t="s">
        <v>2579</v>
      </c>
      <c r="E467" s="54" t="s">
        <v>2553</v>
      </c>
      <c r="F467" s="54" t="s">
        <v>2553</v>
      </c>
    </row>
    <row r="468" spans="1:6" ht="12" x14ac:dyDescent="0.2">
      <c r="A468" s="65">
        <v>12181</v>
      </c>
      <c r="B468" s="52" t="s">
        <v>3363</v>
      </c>
      <c r="C468" s="52" t="s">
        <v>3364</v>
      </c>
      <c r="D468" s="53" t="s">
        <v>3365</v>
      </c>
      <c r="E468" s="54" t="s">
        <v>3366</v>
      </c>
      <c r="F468" s="54" t="s">
        <v>2840</v>
      </c>
    </row>
    <row r="469" spans="1:6" ht="12" x14ac:dyDescent="0.2">
      <c r="A469" s="65">
        <v>12187</v>
      </c>
      <c r="B469" s="52" t="s">
        <v>1442</v>
      </c>
      <c r="C469" s="52" t="s">
        <v>3367</v>
      </c>
      <c r="D469" s="53" t="s">
        <v>3368</v>
      </c>
      <c r="E469" s="54" t="s">
        <v>1443</v>
      </c>
      <c r="F469" s="54" t="s">
        <v>177</v>
      </c>
    </row>
    <row r="470" spans="1:6" ht="12" x14ac:dyDescent="0.2">
      <c r="A470" s="65">
        <v>12197</v>
      </c>
      <c r="B470" s="52" t="s">
        <v>199</v>
      </c>
      <c r="C470" s="52" t="s">
        <v>3369</v>
      </c>
      <c r="D470" s="53" t="s">
        <v>3370</v>
      </c>
      <c r="E470" s="54" t="s">
        <v>199</v>
      </c>
      <c r="F470" s="54" t="s">
        <v>82</v>
      </c>
    </row>
    <row r="471" spans="1:6" ht="12" x14ac:dyDescent="0.2">
      <c r="A471" s="65">
        <v>12226</v>
      </c>
      <c r="B471" s="52" t="s">
        <v>606</v>
      </c>
      <c r="C471" s="52" t="s">
        <v>3371</v>
      </c>
      <c r="D471" s="53" t="s">
        <v>3372</v>
      </c>
      <c r="E471" s="54" t="s">
        <v>606</v>
      </c>
      <c r="F471" s="54" t="s">
        <v>342</v>
      </c>
    </row>
    <row r="472" spans="1:6" ht="12" x14ac:dyDescent="0.2">
      <c r="A472" s="65">
        <v>12232</v>
      </c>
      <c r="B472" s="52" t="s">
        <v>604</v>
      </c>
      <c r="C472" s="52" t="s">
        <v>3373</v>
      </c>
      <c r="D472" s="53" t="s">
        <v>3340</v>
      </c>
      <c r="E472" s="54" t="s">
        <v>604</v>
      </c>
      <c r="F472" s="54" t="s">
        <v>211</v>
      </c>
    </row>
    <row r="473" spans="1:6" ht="12" x14ac:dyDescent="0.2">
      <c r="A473" s="65">
        <v>12244</v>
      </c>
      <c r="B473" s="52" t="s">
        <v>607</v>
      </c>
      <c r="C473" s="52" t="s">
        <v>3374</v>
      </c>
      <c r="D473" s="53" t="s">
        <v>3375</v>
      </c>
      <c r="E473" s="54" t="s">
        <v>608</v>
      </c>
      <c r="F473" s="54" t="s">
        <v>65</v>
      </c>
    </row>
    <row r="474" spans="1:6" ht="12" x14ac:dyDescent="0.2">
      <c r="A474" s="65">
        <v>12269</v>
      </c>
      <c r="B474" s="52" t="s">
        <v>609</v>
      </c>
      <c r="C474" s="52" t="s">
        <v>3376</v>
      </c>
      <c r="D474" s="53" t="s">
        <v>3377</v>
      </c>
      <c r="E474" s="54" t="s">
        <v>609</v>
      </c>
      <c r="F474" s="54" t="s">
        <v>2840</v>
      </c>
    </row>
    <row r="475" spans="1:6" ht="12" x14ac:dyDescent="0.2">
      <c r="A475" s="65">
        <v>12279</v>
      </c>
      <c r="B475" s="52" t="s">
        <v>3378</v>
      </c>
      <c r="C475" s="52" t="s">
        <v>3379</v>
      </c>
      <c r="D475" s="53" t="s">
        <v>3380</v>
      </c>
      <c r="E475" s="54" t="s">
        <v>1088</v>
      </c>
      <c r="F475" s="54" t="s">
        <v>887</v>
      </c>
    </row>
    <row r="476" spans="1:6" ht="12" x14ac:dyDescent="0.2">
      <c r="A476" s="65">
        <v>12281</v>
      </c>
      <c r="B476" s="52" t="s">
        <v>3381</v>
      </c>
      <c r="C476" s="52" t="s">
        <v>3382</v>
      </c>
      <c r="D476" s="53" t="s">
        <v>3383</v>
      </c>
      <c r="E476" s="54" t="s">
        <v>3384</v>
      </c>
      <c r="F476" s="54" t="s">
        <v>82</v>
      </c>
    </row>
    <row r="477" spans="1:6" ht="12" x14ac:dyDescent="0.2">
      <c r="A477" s="65">
        <v>12298</v>
      </c>
      <c r="B477" s="52" t="s">
        <v>1444</v>
      </c>
      <c r="C477" s="52" t="s">
        <v>3385</v>
      </c>
      <c r="D477" s="53" t="s">
        <v>3386</v>
      </c>
      <c r="E477" s="54" t="s">
        <v>1444</v>
      </c>
      <c r="F477" s="54" t="s">
        <v>38</v>
      </c>
    </row>
    <row r="478" spans="1:6" ht="12" x14ac:dyDescent="0.2">
      <c r="A478" s="65">
        <v>12305</v>
      </c>
      <c r="B478" s="52" t="s">
        <v>493</v>
      </c>
      <c r="C478" s="52" t="s">
        <v>3387</v>
      </c>
      <c r="D478" s="53" t="s">
        <v>3388</v>
      </c>
      <c r="E478" s="54" t="s">
        <v>493</v>
      </c>
      <c r="F478" s="54" t="s">
        <v>152</v>
      </c>
    </row>
    <row r="479" spans="1:6" ht="12" x14ac:dyDescent="0.2">
      <c r="A479" s="65">
        <v>12306</v>
      </c>
      <c r="B479" s="52" t="s">
        <v>200</v>
      </c>
      <c r="C479" s="52" t="s">
        <v>3389</v>
      </c>
      <c r="D479" s="53" t="s">
        <v>3390</v>
      </c>
      <c r="E479" s="54" t="s">
        <v>200</v>
      </c>
      <c r="F479" s="54" t="s">
        <v>42</v>
      </c>
    </row>
    <row r="480" spans="1:6" ht="12" x14ac:dyDescent="0.2">
      <c r="A480" s="65">
        <v>12312</v>
      </c>
      <c r="B480" s="52" t="s">
        <v>610</v>
      </c>
      <c r="C480" s="52" t="s">
        <v>3391</v>
      </c>
      <c r="D480" s="53" t="s">
        <v>3392</v>
      </c>
      <c r="E480" s="54" t="s">
        <v>611</v>
      </c>
      <c r="F480" s="54" t="s">
        <v>38</v>
      </c>
    </row>
    <row r="481" spans="1:6" ht="12" x14ac:dyDescent="0.2">
      <c r="A481" s="65">
        <v>12325</v>
      </c>
      <c r="B481" s="52" t="s">
        <v>3393</v>
      </c>
      <c r="C481" s="52" t="s">
        <v>3394</v>
      </c>
      <c r="D481" s="53" t="s">
        <v>2807</v>
      </c>
      <c r="E481" s="54" t="s">
        <v>1297</v>
      </c>
      <c r="F481" s="54" t="s">
        <v>177</v>
      </c>
    </row>
    <row r="482" spans="1:6" ht="12" x14ac:dyDescent="0.2">
      <c r="A482" s="65">
        <v>12327</v>
      </c>
      <c r="B482" s="52" t="s">
        <v>201</v>
      </c>
      <c r="C482" s="52" t="s">
        <v>3395</v>
      </c>
      <c r="D482" s="53" t="s">
        <v>3396</v>
      </c>
      <c r="E482" s="54" t="s">
        <v>201</v>
      </c>
      <c r="F482" s="54" t="s">
        <v>97</v>
      </c>
    </row>
    <row r="483" spans="1:6" ht="12" x14ac:dyDescent="0.2">
      <c r="A483" s="65">
        <v>12346</v>
      </c>
      <c r="B483" s="52" t="s">
        <v>1877</v>
      </c>
      <c r="C483" s="52" t="s">
        <v>3397</v>
      </c>
      <c r="D483" s="53" t="s">
        <v>3398</v>
      </c>
      <c r="E483" s="54" t="s">
        <v>202</v>
      </c>
      <c r="F483" s="54" t="s">
        <v>135</v>
      </c>
    </row>
    <row r="484" spans="1:6" ht="12" x14ac:dyDescent="0.2">
      <c r="A484" s="65">
        <v>12357</v>
      </c>
      <c r="B484" s="52" t="s">
        <v>203</v>
      </c>
      <c r="C484" s="52" t="s">
        <v>3399</v>
      </c>
      <c r="D484" s="53" t="s">
        <v>3400</v>
      </c>
      <c r="E484" s="54" t="s">
        <v>204</v>
      </c>
      <c r="F484" s="54" t="s">
        <v>101</v>
      </c>
    </row>
    <row r="485" spans="1:6" ht="12" x14ac:dyDescent="0.2">
      <c r="A485" s="65">
        <v>12392</v>
      </c>
      <c r="B485" s="52" t="s">
        <v>613</v>
      </c>
      <c r="C485" s="52" t="s">
        <v>3401</v>
      </c>
      <c r="D485" s="53" t="s">
        <v>3402</v>
      </c>
      <c r="E485" s="54" t="s">
        <v>613</v>
      </c>
      <c r="F485" s="54" t="s">
        <v>123</v>
      </c>
    </row>
    <row r="486" spans="1:6" ht="12" x14ac:dyDescent="0.2">
      <c r="A486" s="65">
        <v>12405</v>
      </c>
      <c r="B486" s="52" t="s">
        <v>1445</v>
      </c>
      <c r="C486" s="52" t="s">
        <v>3403</v>
      </c>
      <c r="D486" s="53" t="s">
        <v>3404</v>
      </c>
      <c r="E486" s="54" t="s">
        <v>1446</v>
      </c>
      <c r="F486" s="54" t="s">
        <v>211</v>
      </c>
    </row>
    <row r="487" spans="1:6" ht="12" x14ac:dyDescent="0.2">
      <c r="A487" s="65">
        <v>12413</v>
      </c>
      <c r="B487" s="52" t="s">
        <v>1447</v>
      </c>
      <c r="C487" s="52" t="s">
        <v>3405</v>
      </c>
      <c r="D487" s="53" t="s">
        <v>3406</v>
      </c>
      <c r="E487" s="54" t="s">
        <v>1448</v>
      </c>
      <c r="F487" s="54" t="s">
        <v>342</v>
      </c>
    </row>
    <row r="488" spans="1:6" ht="12" x14ac:dyDescent="0.2">
      <c r="A488" s="65">
        <v>12418</v>
      </c>
      <c r="B488" s="52" t="s">
        <v>205</v>
      </c>
      <c r="C488" s="52" t="s">
        <v>3407</v>
      </c>
      <c r="D488" s="53" t="s">
        <v>3408</v>
      </c>
      <c r="E488" s="54" t="s">
        <v>206</v>
      </c>
      <c r="F488" s="54" t="s">
        <v>207</v>
      </c>
    </row>
    <row r="489" spans="1:6" ht="12" x14ac:dyDescent="0.2">
      <c r="A489" s="65">
        <v>12436</v>
      </c>
      <c r="B489" s="52" t="s">
        <v>1449</v>
      </c>
      <c r="C489" s="52" t="s">
        <v>1450</v>
      </c>
      <c r="D489" s="53" t="s">
        <v>3409</v>
      </c>
      <c r="E489" s="54" t="s">
        <v>727</v>
      </c>
      <c r="F489" s="54" t="s">
        <v>135</v>
      </c>
    </row>
    <row r="490" spans="1:6" ht="12" x14ac:dyDescent="0.2">
      <c r="A490" s="65">
        <v>12462</v>
      </c>
      <c r="B490" s="52" t="s">
        <v>1451</v>
      </c>
      <c r="C490" s="52" t="s">
        <v>3410</v>
      </c>
      <c r="D490" s="53" t="s">
        <v>3411</v>
      </c>
      <c r="E490" s="54" t="s">
        <v>1452</v>
      </c>
      <c r="F490" s="54" t="s">
        <v>158</v>
      </c>
    </row>
    <row r="491" spans="1:6" ht="12" x14ac:dyDescent="0.2">
      <c r="A491" s="65">
        <v>12467</v>
      </c>
      <c r="B491" s="52" t="s">
        <v>208</v>
      </c>
      <c r="C491" s="52" t="s">
        <v>3412</v>
      </c>
      <c r="D491" s="53" t="s">
        <v>2670</v>
      </c>
      <c r="E491" s="54" t="s">
        <v>112</v>
      </c>
      <c r="F491" s="54" t="s">
        <v>112</v>
      </c>
    </row>
    <row r="492" spans="1:6" ht="12" x14ac:dyDescent="0.2">
      <c r="A492" s="65">
        <v>12467</v>
      </c>
      <c r="B492" s="52" t="s">
        <v>208</v>
      </c>
      <c r="C492" s="52" t="s">
        <v>3412</v>
      </c>
      <c r="D492" s="53" t="s">
        <v>2670</v>
      </c>
      <c r="E492" s="54" t="s">
        <v>112</v>
      </c>
      <c r="F492" s="54" t="s">
        <v>112</v>
      </c>
    </row>
    <row r="493" spans="1:6" ht="12" x14ac:dyDescent="0.2">
      <c r="A493" s="65">
        <v>12468</v>
      </c>
      <c r="B493" s="52" t="s">
        <v>1453</v>
      </c>
      <c r="C493" s="52" t="s">
        <v>3413</v>
      </c>
      <c r="D493" s="53" t="s">
        <v>3414</v>
      </c>
      <c r="E493" s="54" t="s">
        <v>1454</v>
      </c>
      <c r="F493" s="54" t="s">
        <v>154</v>
      </c>
    </row>
    <row r="494" spans="1:6" ht="12" x14ac:dyDescent="0.2">
      <c r="A494" s="65">
        <v>12472</v>
      </c>
      <c r="B494" s="52" t="s">
        <v>1455</v>
      </c>
      <c r="C494" s="52" t="s">
        <v>3415</v>
      </c>
      <c r="D494" s="53" t="s">
        <v>3416</v>
      </c>
      <c r="E494" s="54" t="s">
        <v>211</v>
      </c>
      <c r="F494" s="54" t="s">
        <v>211</v>
      </c>
    </row>
    <row r="495" spans="1:6" ht="12" x14ac:dyDescent="0.2">
      <c r="A495" s="65">
        <v>12487</v>
      </c>
      <c r="B495" s="52" t="s">
        <v>2048</v>
      </c>
      <c r="C495" s="52" t="s">
        <v>3417</v>
      </c>
      <c r="D495" s="53" t="s">
        <v>3418</v>
      </c>
      <c r="E495" s="54" t="s">
        <v>2049</v>
      </c>
      <c r="F495" s="54" t="s">
        <v>342</v>
      </c>
    </row>
    <row r="496" spans="1:6" ht="12" x14ac:dyDescent="0.2">
      <c r="A496" s="65">
        <v>12495</v>
      </c>
      <c r="B496" s="52" t="s">
        <v>1456</v>
      </c>
      <c r="C496" s="52" t="s">
        <v>3419</v>
      </c>
      <c r="D496" s="53" t="s">
        <v>2602</v>
      </c>
      <c r="E496" s="54" t="s">
        <v>1457</v>
      </c>
      <c r="F496" s="54" t="s">
        <v>108</v>
      </c>
    </row>
    <row r="497" spans="1:6" ht="12" x14ac:dyDescent="0.2">
      <c r="A497" s="65">
        <v>12500</v>
      </c>
      <c r="B497" s="52" t="s">
        <v>1458</v>
      </c>
      <c r="C497" s="52" t="s">
        <v>3420</v>
      </c>
      <c r="D497" s="53" t="s">
        <v>3421</v>
      </c>
      <c r="E497" s="54" t="s">
        <v>1027</v>
      </c>
      <c r="F497" s="54" t="s">
        <v>342</v>
      </c>
    </row>
    <row r="498" spans="1:6" ht="12" x14ac:dyDescent="0.2">
      <c r="A498" s="65">
        <v>12504</v>
      </c>
      <c r="B498" s="52" t="s">
        <v>3422</v>
      </c>
      <c r="C498" s="52" t="s">
        <v>3423</v>
      </c>
      <c r="D498" s="53" t="s">
        <v>3424</v>
      </c>
      <c r="E498" s="54" t="s">
        <v>614</v>
      </c>
      <c r="F498" s="54" t="s">
        <v>135</v>
      </c>
    </row>
    <row r="499" spans="1:6" ht="12" x14ac:dyDescent="0.2">
      <c r="A499" s="65">
        <v>12504</v>
      </c>
      <c r="B499" s="52" t="s">
        <v>3422</v>
      </c>
      <c r="C499" s="52" t="s">
        <v>3423</v>
      </c>
      <c r="D499" s="53" t="s">
        <v>3424</v>
      </c>
      <c r="E499" s="54" t="s">
        <v>614</v>
      </c>
      <c r="F499" s="54" t="s">
        <v>135</v>
      </c>
    </row>
    <row r="500" spans="1:6" ht="12" x14ac:dyDescent="0.2">
      <c r="A500" s="65">
        <v>12508</v>
      </c>
      <c r="B500" s="52" t="s">
        <v>1089</v>
      </c>
      <c r="C500" s="52" t="s">
        <v>3425</v>
      </c>
      <c r="D500" s="53" t="s">
        <v>3426</v>
      </c>
      <c r="E500" s="54" t="s">
        <v>1090</v>
      </c>
      <c r="F500" s="54" t="s">
        <v>174</v>
      </c>
    </row>
    <row r="501" spans="1:6" ht="12" x14ac:dyDescent="0.2">
      <c r="A501" s="65">
        <v>12512</v>
      </c>
      <c r="B501" s="52" t="s">
        <v>1459</v>
      </c>
      <c r="C501" s="52" t="s">
        <v>3427</v>
      </c>
      <c r="D501" s="53" t="s">
        <v>3428</v>
      </c>
      <c r="E501" s="54" t="s">
        <v>1459</v>
      </c>
      <c r="F501" s="54" t="s">
        <v>118</v>
      </c>
    </row>
    <row r="502" spans="1:6" ht="12" x14ac:dyDescent="0.2">
      <c r="A502" s="65">
        <v>12519</v>
      </c>
      <c r="B502" s="52" t="s">
        <v>3429</v>
      </c>
      <c r="C502" s="52" t="s">
        <v>3430</v>
      </c>
      <c r="D502" s="53" t="s">
        <v>3431</v>
      </c>
      <c r="E502" s="54" t="s">
        <v>3432</v>
      </c>
      <c r="F502" s="54" t="s">
        <v>211</v>
      </c>
    </row>
    <row r="503" spans="1:6" ht="12" x14ac:dyDescent="0.2">
      <c r="A503" s="65">
        <v>12538</v>
      </c>
      <c r="B503" s="52" t="s">
        <v>615</v>
      </c>
      <c r="C503" s="52" t="s">
        <v>616</v>
      </c>
      <c r="D503" s="53" t="s">
        <v>3433</v>
      </c>
      <c r="E503" s="54" t="s">
        <v>3434</v>
      </c>
      <c r="F503" s="54" t="s">
        <v>158</v>
      </c>
    </row>
    <row r="504" spans="1:6" ht="12" x14ac:dyDescent="0.2">
      <c r="A504" s="65">
        <v>12539</v>
      </c>
      <c r="B504" s="52" t="s">
        <v>209</v>
      </c>
      <c r="C504" s="52" t="s">
        <v>3435</v>
      </c>
      <c r="D504" s="53" t="s">
        <v>3436</v>
      </c>
      <c r="E504" s="54" t="s">
        <v>210</v>
      </c>
      <c r="F504" s="54" t="s">
        <v>211</v>
      </c>
    </row>
    <row r="505" spans="1:6" ht="12" x14ac:dyDescent="0.2">
      <c r="A505" s="65">
        <v>12539</v>
      </c>
      <c r="B505" s="52" t="s">
        <v>209</v>
      </c>
      <c r="C505" s="52" t="s">
        <v>3435</v>
      </c>
      <c r="D505" s="53" t="s">
        <v>3436</v>
      </c>
      <c r="E505" s="54" t="s">
        <v>210</v>
      </c>
      <c r="F505" s="54" t="s">
        <v>211</v>
      </c>
    </row>
    <row r="506" spans="1:6" ht="12" x14ac:dyDescent="0.2">
      <c r="A506" s="65">
        <v>12543</v>
      </c>
      <c r="B506" s="52" t="s">
        <v>617</v>
      </c>
      <c r="C506" s="52" t="s">
        <v>3437</v>
      </c>
      <c r="D506" s="53" t="s">
        <v>3438</v>
      </c>
      <c r="E506" s="54" t="s">
        <v>617</v>
      </c>
      <c r="F506" s="54" t="s">
        <v>82</v>
      </c>
    </row>
    <row r="507" spans="1:6" ht="12" x14ac:dyDescent="0.2">
      <c r="A507" s="65">
        <v>12573</v>
      </c>
      <c r="B507" s="52" t="s">
        <v>1460</v>
      </c>
      <c r="C507" s="52" t="s">
        <v>3439</v>
      </c>
      <c r="D507" s="53" t="s">
        <v>3267</v>
      </c>
      <c r="E507" s="54" t="s">
        <v>190</v>
      </c>
      <c r="F507" s="54" t="s">
        <v>152</v>
      </c>
    </row>
    <row r="508" spans="1:6" ht="12" x14ac:dyDescent="0.2">
      <c r="A508" s="65">
        <v>12575</v>
      </c>
      <c r="B508" s="52" t="s">
        <v>618</v>
      </c>
      <c r="C508" s="52" t="s">
        <v>3440</v>
      </c>
      <c r="D508" s="53" t="s">
        <v>3441</v>
      </c>
      <c r="E508" s="54" t="s">
        <v>618</v>
      </c>
      <c r="F508" s="54" t="s">
        <v>135</v>
      </c>
    </row>
    <row r="509" spans="1:6" ht="12" x14ac:dyDescent="0.2">
      <c r="A509" s="65">
        <v>12595</v>
      </c>
      <c r="B509" s="52" t="s">
        <v>1461</v>
      </c>
      <c r="C509" s="52" t="s">
        <v>1462</v>
      </c>
      <c r="D509" s="53" t="s">
        <v>3442</v>
      </c>
      <c r="E509" s="54" t="s">
        <v>1461</v>
      </c>
      <c r="F509" s="54" t="s">
        <v>97</v>
      </c>
    </row>
    <row r="510" spans="1:6" ht="12" x14ac:dyDescent="0.2">
      <c r="A510" s="65">
        <v>12609</v>
      </c>
      <c r="B510" s="52" t="s">
        <v>1091</v>
      </c>
      <c r="C510" s="52" t="s">
        <v>3443</v>
      </c>
      <c r="D510" s="53" t="s">
        <v>3444</v>
      </c>
      <c r="E510" s="54" t="s">
        <v>1091</v>
      </c>
      <c r="F510" s="54" t="s">
        <v>108</v>
      </c>
    </row>
    <row r="511" spans="1:6" ht="12" x14ac:dyDescent="0.2">
      <c r="A511" s="65">
        <v>12625</v>
      </c>
      <c r="B511" s="52" t="s">
        <v>1463</v>
      </c>
      <c r="C511" s="52" t="s">
        <v>3445</v>
      </c>
      <c r="D511" s="53" t="s">
        <v>3444</v>
      </c>
      <c r="E511" s="54" t="s">
        <v>1091</v>
      </c>
      <c r="F511" s="54" t="s">
        <v>108</v>
      </c>
    </row>
    <row r="512" spans="1:6" ht="12" x14ac:dyDescent="0.2">
      <c r="A512" s="65">
        <v>12647</v>
      </c>
      <c r="B512" s="52" t="s">
        <v>212</v>
      </c>
      <c r="C512" s="52" t="s">
        <v>3446</v>
      </c>
      <c r="D512" s="53" t="s">
        <v>3447</v>
      </c>
      <c r="E512" s="54" t="s">
        <v>213</v>
      </c>
      <c r="F512" s="54" t="s">
        <v>108</v>
      </c>
    </row>
    <row r="513" spans="1:6" ht="12" x14ac:dyDescent="0.2">
      <c r="A513" s="65">
        <v>12654</v>
      </c>
      <c r="B513" s="52" t="s">
        <v>1092</v>
      </c>
      <c r="C513" s="52" t="s">
        <v>3448</v>
      </c>
      <c r="D513" s="53" t="s">
        <v>2514</v>
      </c>
      <c r="E513" s="54" t="s">
        <v>2512</v>
      </c>
      <c r="F513" s="54" t="s">
        <v>48</v>
      </c>
    </row>
    <row r="514" spans="1:6" ht="12" x14ac:dyDescent="0.2">
      <c r="A514" s="65">
        <v>12661</v>
      </c>
      <c r="B514" s="52" t="s">
        <v>3449</v>
      </c>
      <c r="C514" s="52" t="s">
        <v>3450</v>
      </c>
      <c r="D514" s="53" t="s">
        <v>3451</v>
      </c>
      <c r="E514" s="54" t="s">
        <v>3452</v>
      </c>
      <c r="F514" s="54" t="s">
        <v>82</v>
      </c>
    </row>
    <row r="515" spans="1:6" ht="12" x14ac:dyDescent="0.2">
      <c r="A515" s="65">
        <v>12685</v>
      </c>
      <c r="B515" s="52" t="s">
        <v>619</v>
      </c>
      <c r="C515" s="52" t="s">
        <v>3453</v>
      </c>
      <c r="D515" s="53" t="s">
        <v>3454</v>
      </c>
      <c r="E515" s="54" t="s">
        <v>620</v>
      </c>
      <c r="F515" s="54" t="s">
        <v>135</v>
      </c>
    </row>
    <row r="516" spans="1:6" ht="12" x14ac:dyDescent="0.2">
      <c r="A516" s="65">
        <v>12695</v>
      </c>
      <c r="B516" s="52" t="s">
        <v>1093</v>
      </c>
      <c r="C516" s="52" t="s">
        <v>3455</v>
      </c>
      <c r="D516" s="53" t="s">
        <v>2577</v>
      </c>
      <c r="E516" s="54" t="s">
        <v>108</v>
      </c>
      <c r="F516" s="54" t="s">
        <v>108</v>
      </c>
    </row>
    <row r="517" spans="1:6" ht="12" x14ac:dyDescent="0.2">
      <c r="A517" s="65">
        <v>12707</v>
      </c>
      <c r="B517" s="52" t="s">
        <v>621</v>
      </c>
      <c r="C517" s="52" t="s">
        <v>3456</v>
      </c>
      <c r="D517" s="53" t="s">
        <v>3059</v>
      </c>
      <c r="E517" s="54" t="s">
        <v>621</v>
      </c>
      <c r="F517" s="54" t="s">
        <v>84</v>
      </c>
    </row>
    <row r="518" spans="1:6" ht="12" x14ac:dyDescent="0.2">
      <c r="A518" s="65">
        <v>12709</v>
      </c>
      <c r="B518" s="52" t="s">
        <v>1464</v>
      </c>
      <c r="C518" s="52" t="s">
        <v>3457</v>
      </c>
      <c r="D518" s="53" t="s">
        <v>3458</v>
      </c>
      <c r="E518" s="54" t="s">
        <v>1465</v>
      </c>
      <c r="F518" s="54" t="s">
        <v>84</v>
      </c>
    </row>
    <row r="519" spans="1:6" ht="12" x14ac:dyDescent="0.2">
      <c r="A519" s="65">
        <v>12723</v>
      </c>
      <c r="B519" s="52" t="s">
        <v>622</v>
      </c>
      <c r="C519" s="52" t="s">
        <v>3459</v>
      </c>
      <c r="D519" s="53" t="s">
        <v>3460</v>
      </c>
      <c r="E519" s="54" t="s">
        <v>623</v>
      </c>
      <c r="F519" s="54" t="s">
        <v>42</v>
      </c>
    </row>
    <row r="520" spans="1:6" ht="12" x14ac:dyDescent="0.2">
      <c r="A520" s="65">
        <v>12726</v>
      </c>
      <c r="B520" s="52" t="s">
        <v>1466</v>
      </c>
      <c r="C520" s="52" t="s">
        <v>3461</v>
      </c>
      <c r="D520" s="53" t="s">
        <v>2977</v>
      </c>
      <c r="E520" s="54" t="s">
        <v>1467</v>
      </c>
      <c r="F520" s="54" t="s">
        <v>285</v>
      </c>
    </row>
    <row r="521" spans="1:6" ht="12" x14ac:dyDescent="0.2">
      <c r="A521" s="65">
        <v>12739</v>
      </c>
      <c r="B521" s="52" t="s">
        <v>1468</v>
      </c>
      <c r="C521" s="52" t="s">
        <v>3462</v>
      </c>
      <c r="D521" s="53" t="s">
        <v>3463</v>
      </c>
      <c r="E521" s="54" t="s">
        <v>1469</v>
      </c>
      <c r="F521" s="54" t="s">
        <v>253</v>
      </c>
    </row>
    <row r="522" spans="1:6" ht="12" x14ac:dyDescent="0.2">
      <c r="A522" s="65">
        <v>12746</v>
      </c>
      <c r="B522" s="52" t="s">
        <v>214</v>
      </c>
      <c r="C522" s="52" t="s">
        <v>3464</v>
      </c>
      <c r="D522" s="53" t="s">
        <v>3465</v>
      </c>
      <c r="E522" s="54" t="s">
        <v>215</v>
      </c>
      <c r="F522" s="54" t="s">
        <v>112</v>
      </c>
    </row>
    <row r="523" spans="1:6" ht="12" x14ac:dyDescent="0.2">
      <c r="A523" s="65">
        <v>12756</v>
      </c>
      <c r="B523" s="52" t="s">
        <v>1470</v>
      </c>
      <c r="C523" s="52" t="s">
        <v>3466</v>
      </c>
      <c r="D523" s="53" t="s">
        <v>3467</v>
      </c>
      <c r="E523" s="54" t="s">
        <v>1471</v>
      </c>
      <c r="F523" s="54" t="s">
        <v>149</v>
      </c>
    </row>
    <row r="524" spans="1:6" ht="12" x14ac:dyDescent="0.2">
      <c r="A524" s="65">
        <v>12758</v>
      </c>
      <c r="B524" s="52" t="s">
        <v>244</v>
      </c>
      <c r="C524" s="52" t="s">
        <v>1977</v>
      </c>
      <c r="D524" s="53" t="s">
        <v>3468</v>
      </c>
      <c r="E524" s="54" t="s">
        <v>244</v>
      </c>
      <c r="F524" s="54" t="s">
        <v>37</v>
      </c>
    </row>
    <row r="525" spans="1:6" ht="12" x14ac:dyDescent="0.2">
      <c r="A525" s="65">
        <v>12786</v>
      </c>
      <c r="B525" s="52" t="s">
        <v>1472</v>
      </c>
      <c r="C525" s="52" t="s">
        <v>3469</v>
      </c>
      <c r="D525" s="53" t="s">
        <v>3470</v>
      </c>
      <c r="E525" s="54" t="s">
        <v>1473</v>
      </c>
      <c r="F525" s="54" t="s">
        <v>171</v>
      </c>
    </row>
    <row r="526" spans="1:6" ht="12" x14ac:dyDescent="0.2">
      <c r="A526" s="65">
        <v>12793</v>
      </c>
      <c r="B526" s="52" t="s">
        <v>216</v>
      </c>
      <c r="C526" s="52" t="s">
        <v>3471</v>
      </c>
      <c r="D526" s="53" t="s">
        <v>3472</v>
      </c>
      <c r="E526" s="54" t="s">
        <v>3473</v>
      </c>
      <c r="F526" s="54" t="s">
        <v>82</v>
      </c>
    </row>
    <row r="527" spans="1:6" ht="12" x14ac:dyDescent="0.2">
      <c r="A527" s="65">
        <v>12802</v>
      </c>
      <c r="B527" s="52" t="s">
        <v>624</v>
      </c>
      <c r="C527" s="52" t="s">
        <v>3474</v>
      </c>
      <c r="D527" s="53" t="s">
        <v>3475</v>
      </c>
      <c r="E527" s="54" t="s">
        <v>625</v>
      </c>
      <c r="F527" s="54" t="s">
        <v>211</v>
      </c>
    </row>
    <row r="528" spans="1:6" ht="12" x14ac:dyDescent="0.2">
      <c r="A528" s="65">
        <v>12813</v>
      </c>
      <c r="B528" s="52" t="s">
        <v>1474</v>
      </c>
      <c r="C528" s="52" t="s">
        <v>3476</v>
      </c>
      <c r="D528" s="53" t="s">
        <v>3477</v>
      </c>
      <c r="E528" s="54" t="s">
        <v>1475</v>
      </c>
      <c r="F528" s="54" t="s">
        <v>640</v>
      </c>
    </row>
    <row r="529" spans="1:6" ht="12" x14ac:dyDescent="0.2">
      <c r="A529" s="65">
        <v>12818</v>
      </c>
      <c r="B529" s="52" t="s">
        <v>1476</v>
      </c>
      <c r="C529" s="52" t="s">
        <v>3478</v>
      </c>
      <c r="D529" s="53" t="s">
        <v>3479</v>
      </c>
      <c r="E529" s="54" t="s">
        <v>1476</v>
      </c>
      <c r="F529" s="54" t="s">
        <v>640</v>
      </c>
    </row>
    <row r="530" spans="1:6" ht="12" x14ac:dyDescent="0.2">
      <c r="A530" s="65">
        <v>12824</v>
      </c>
      <c r="B530" s="52" t="s">
        <v>3480</v>
      </c>
      <c r="C530" s="52" t="s">
        <v>3481</v>
      </c>
      <c r="D530" s="53" t="s">
        <v>3465</v>
      </c>
      <c r="E530" s="54" t="s">
        <v>215</v>
      </c>
      <c r="F530" s="54" t="s">
        <v>112</v>
      </c>
    </row>
    <row r="531" spans="1:6" ht="12" x14ac:dyDescent="0.2">
      <c r="A531" s="65">
        <v>12855</v>
      </c>
      <c r="B531" s="52" t="s">
        <v>1477</v>
      </c>
      <c r="C531" s="52" t="s">
        <v>3482</v>
      </c>
      <c r="D531" s="53" t="s">
        <v>2794</v>
      </c>
      <c r="E531" s="54" t="s">
        <v>48</v>
      </c>
      <c r="F531" s="54" t="s">
        <v>48</v>
      </c>
    </row>
    <row r="532" spans="1:6" ht="12" x14ac:dyDescent="0.2">
      <c r="A532" s="65">
        <v>12857</v>
      </c>
      <c r="B532" s="52" t="s">
        <v>1478</v>
      </c>
      <c r="C532" s="52" t="s">
        <v>3483</v>
      </c>
      <c r="D532" s="53" t="s">
        <v>3484</v>
      </c>
      <c r="E532" s="54" t="s">
        <v>1478</v>
      </c>
      <c r="F532" s="54" t="s">
        <v>285</v>
      </c>
    </row>
    <row r="533" spans="1:6" ht="12" x14ac:dyDescent="0.2">
      <c r="A533" s="65">
        <v>12884</v>
      </c>
      <c r="B533" s="52" t="s">
        <v>217</v>
      </c>
      <c r="C533" s="52" t="s">
        <v>3485</v>
      </c>
      <c r="D533" s="53" t="s">
        <v>2715</v>
      </c>
      <c r="E533" s="54" t="s">
        <v>127</v>
      </c>
      <c r="F533" s="54" t="s">
        <v>2505</v>
      </c>
    </row>
    <row r="534" spans="1:6" ht="12" x14ac:dyDescent="0.2">
      <c r="A534" s="65">
        <v>12889</v>
      </c>
      <c r="B534" s="52" t="s">
        <v>1479</v>
      </c>
      <c r="C534" s="52" t="s">
        <v>1480</v>
      </c>
      <c r="D534" s="53" t="s">
        <v>3486</v>
      </c>
      <c r="E534" s="54" t="s">
        <v>1481</v>
      </c>
      <c r="F534" s="54" t="s">
        <v>332</v>
      </c>
    </row>
    <row r="535" spans="1:6" ht="12" x14ac:dyDescent="0.2">
      <c r="A535" s="65">
        <v>12896</v>
      </c>
      <c r="B535" s="52" t="s">
        <v>518</v>
      </c>
      <c r="C535" s="52" t="s">
        <v>3487</v>
      </c>
      <c r="D535" s="53" t="s">
        <v>2516</v>
      </c>
      <c r="E535" s="54" t="s">
        <v>519</v>
      </c>
      <c r="F535" s="54" t="s">
        <v>378</v>
      </c>
    </row>
    <row r="536" spans="1:6" ht="12" x14ac:dyDescent="0.2">
      <c r="A536" s="65">
        <v>12896</v>
      </c>
      <c r="B536" s="52" t="s">
        <v>518</v>
      </c>
      <c r="C536" s="52" t="s">
        <v>3487</v>
      </c>
      <c r="D536" s="53" t="s">
        <v>2516</v>
      </c>
      <c r="E536" s="54" t="s">
        <v>519</v>
      </c>
      <c r="F536" s="54" t="s">
        <v>378</v>
      </c>
    </row>
    <row r="537" spans="1:6" ht="12" x14ac:dyDescent="0.2">
      <c r="A537" s="65">
        <v>12897</v>
      </c>
      <c r="B537" s="52" t="s">
        <v>3488</v>
      </c>
      <c r="C537" s="52" t="s">
        <v>3489</v>
      </c>
      <c r="D537" s="53" t="s">
        <v>3490</v>
      </c>
      <c r="E537" s="54" t="s">
        <v>3488</v>
      </c>
      <c r="F537" s="54" t="s">
        <v>2840</v>
      </c>
    </row>
    <row r="538" spans="1:6" ht="12" x14ac:dyDescent="0.2">
      <c r="A538" s="65">
        <v>12915</v>
      </c>
      <c r="B538" s="52" t="s">
        <v>584</v>
      </c>
      <c r="C538" s="52" t="s">
        <v>3491</v>
      </c>
      <c r="D538" s="53" t="s">
        <v>3492</v>
      </c>
      <c r="E538" s="54" t="s">
        <v>1094</v>
      </c>
      <c r="F538" s="54" t="s">
        <v>118</v>
      </c>
    </row>
    <row r="539" spans="1:6" ht="12" x14ac:dyDescent="0.2">
      <c r="A539" s="65">
        <v>12936</v>
      </c>
      <c r="B539" s="52" t="s">
        <v>2004</v>
      </c>
      <c r="C539" s="52" t="s">
        <v>3493</v>
      </c>
      <c r="D539" s="53" t="s">
        <v>3494</v>
      </c>
      <c r="E539" s="54" t="s">
        <v>2004</v>
      </c>
      <c r="F539" s="54" t="s">
        <v>332</v>
      </c>
    </row>
    <row r="540" spans="1:6" ht="12" x14ac:dyDescent="0.2">
      <c r="A540" s="65">
        <v>12939</v>
      </c>
      <c r="B540" s="52" t="s">
        <v>1095</v>
      </c>
      <c r="C540" s="52" t="s">
        <v>3495</v>
      </c>
      <c r="D540" s="53" t="s">
        <v>3496</v>
      </c>
      <c r="E540" s="54" t="s">
        <v>3497</v>
      </c>
      <c r="F540" s="54" t="s">
        <v>84</v>
      </c>
    </row>
    <row r="541" spans="1:6" ht="12" x14ac:dyDescent="0.2">
      <c r="A541" s="65">
        <v>12972</v>
      </c>
      <c r="B541" s="52" t="s">
        <v>1096</v>
      </c>
      <c r="C541" s="52" t="s">
        <v>3498</v>
      </c>
      <c r="D541" s="53" t="s">
        <v>3499</v>
      </c>
      <c r="E541" s="54" t="s">
        <v>1097</v>
      </c>
      <c r="F541" s="54" t="s">
        <v>211</v>
      </c>
    </row>
    <row r="542" spans="1:6" ht="12" x14ac:dyDescent="0.2">
      <c r="A542" s="65">
        <v>13056</v>
      </c>
      <c r="B542" s="52" t="s">
        <v>1098</v>
      </c>
      <c r="C542" s="52" t="s">
        <v>3500</v>
      </c>
      <c r="D542" s="53" t="s">
        <v>3501</v>
      </c>
      <c r="E542" s="54" t="s">
        <v>1099</v>
      </c>
      <c r="F542" s="54" t="s">
        <v>285</v>
      </c>
    </row>
    <row r="543" spans="1:6" ht="12" x14ac:dyDescent="0.2">
      <c r="A543" s="65">
        <v>13072</v>
      </c>
      <c r="B543" s="52" t="s">
        <v>626</v>
      </c>
      <c r="C543" s="52" t="s">
        <v>627</v>
      </c>
      <c r="D543" s="53" t="s">
        <v>3502</v>
      </c>
      <c r="E543" s="54" t="s">
        <v>626</v>
      </c>
      <c r="F543" s="54" t="s">
        <v>135</v>
      </c>
    </row>
    <row r="544" spans="1:6" ht="12" x14ac:dyDescent="0.2">
      <c r="A544" s="65">
        <v>13078</v>
      </c>
      <c r="B544" s="52" t="s">
        <v>628</v>
      </c>
      <c r="C544" s="52" t="s">
        <v>3503</v>
      </c>
      <c r="D544" s="53" t="s">
        <v>3504</v>
      </c>
      <c r="E544" s="54" t="s">
        <v>628</v>
      </c>
      <c r="F544" s="54" t="s">
        <v>154</v>
      </c>
    </row>
    <row r="545" spans="1:6" ht="12" x14ac:dyDescent="0.2">
      <c r="A545" s="65">
        <v>13086</v>
      </c>
      <c r="B545" s="52" t="s">
        <v>1482</v>
      </c>
      <c r="C545" s="52" t="s">
        <v>3505</v>
      </c>
      <c r="D545" s="53" t="s">
        <v>3506</v>
      </c>
      <c r="E545" s="54" t="s">
        <v>1482</v>
      </c>
      <c r="F545" s="54" t="s">
        <v>65</v>
      </c>
    </row>
    <row r="546" spans="1:6" ht="12" x14ac:dyDescent="0.2">
      <c r="A546" s="65">
        <v>13093</v>
      </c>
      <c r="B546" s="52" t="s">
        <v>218</v>
      </c>
      <c r="C546" s="52" t="s">
        <v>3507</v>
      </c>
      <c r="D546" s="53" t="s">
        <v>3508</v>
      </c>
      <c r="E546" s="54" t="s">
        <v>219</v>
      </c>
      <c r="F546" s="54" t="s">
        <v>36</v>
      </c>
    </row>
    <row r="547" spans="1:6" ht="12" x14ac:dyDescent="0.2">
      <c r="A547" s="65">
        <v>13110</v>
      </c>
      <c r="B547" s="52" t="s">
        <v>220</v>
      </c>
      <c r="C547" s="52" t="s">
        <v>3509</v>
      </c>
      <c r="D547" s="53" t="s">
        <v>3510</v>
      </c>
      <c r="E547" s="54" t="s">
        <v>221</v>
      </c>
      <c r="F547" s="54" t="s">
        <v>82</v>
      </c>
    </row>
    <row r="548" spans="1:6" ht="12" x14ac:dyDescent="0.2">
      <c r="A548" s="65">
        <v>13136</v>
      </c>
      <c r="B548" s="52" t="s">
        <v>3511</v>
      </c>
      <c r="C548" s="52" t="s">
        <v>3512</v>
      </c>
      <c r="D548" s="53" t="s">
        <v>3513</v>
      </c>
      <c r="E548" s="54" t="s">
        <v>3514</v>
      </c>
      <c r="F548" s="54" t="s">
        <v>48</v>
      </c>
    </row>
    <row r="549" spans="1:6" ht="12" x14ac:dyDescent="0.2">
      <c r="A549" s="65">
        <v>13139</v>
      </c>
      <c r="B549" s="52" t="s">
        <v>224</v>
      </c>
      <c r="C549" s="52" t="s">
        <v>3515</v>
      </c>
      <c r="D549" s="53" t="s">
        <v>3516</v>
      </c>
      <c r="E549" s="54" t="s">
        <v>2553</v>
      </c>
      <c r="F549" s="54" t="s">
        <v>2553</v>
      </c>
    </row>
    <row r="550" spans="1:6" ht="12" x14ac:dyDescent="0.2">
      <c r="A550" s="65">
        <v>13149</v>
      </c>
      <c r="B550" s="52" t="s">
        <v>1100</v>
      </c>
      <c r="C550" s="52" t="s">
        <v>3517</v>
      </c>
      <c r="D550" s="53" t="s">
        <v>3518</v>
      </c>
      <c r="E550" s="54" t="s">
        <v>174</v>
      </c>
      <c r="F550" s="54" t="s">
        <v>174</v>
      </c>
    </row>
    <row r="551" spans="1:6" ht="12" x14ac:dyDescent="0.2">
      <c r="A551" s="65">
        <v>13176</v>
      </c>
      <c r="B551" s="52" t="s">
        <v>3519</v>
      </c>
      <c r="C551" s="52" t="s">
        <v>3520</v>
      </c>
      <c r="D551" s="53" t="s">
        <v>3521</v>
      </c>
      <c r="E551" s="54" t="s">
        <v>3522</v>
      </c>
      <c r="F551" s="54" t="s">
        <v>342</v>
      </c>
    </row>
    <row r="552" spans="1:6" ht="12" x14ac:dyDescent="0.2">
      <c r="A552" s="65">
        <v>13182</v>
      </c>
      <c r="B552" s="52" t="s">
        <v>225</v>
      </c>
      <c r="C552" s="52" t="s">
        <v>3523</v>
      </c>
      <c r="D552" s="53" t="s">
        <v>2670</v>
      </c>
      <c r="E552" s="54" t="s">
        <v>112</v>
      </c>
      <c r="F552" s="54" t="s">
        <v>112</v>
      </c>
    </row>
    <row r="553" spans="1:6" ht="12" x14ac:dyDescent="0.2">
      <c r="A553" s="65">
        <v>13183</v>
      </c>
      <c r="B553" s="52" t="s">
        <v>226</v>
      </c>
      <c r="C553" s="52" t="s">
        <v>3524</v>
      </c>
      <c r="D553" s="53" t="s">
        <v>3525</v>
      </c>
      <c r="E553" s="54" t="s">
        <v>112</v>
      </c>
      <c r="F553" s="54" t="s">
        <v>112</v>
      </c>
    </row>
    <row r="554" spans="1:6" ht="12" x14ac:dyDescent="0.2">
      <c r="A554" s="65">
        <v>13184</v>
      </c>
      <c r="B554" s="52" t="s">
        <v>629</v>
      </c>
      <c r="C554" s="52" t="s">
        <v>3526</v>
      </c>
      <c r="D554" s="53" t="s">
        <v>3527</v>
      </c>
      <c r="E554" s="54" t="s">
        <v>112</v>
      </c>
      <c r="F554" s="54" t="s">
        <v>112</v>
      </c>
    </row>
    <row r="555" spans="1:6" ht="12" x14ac:dyDescent="0.2">
      <c r="A555" s="65">
        <v>13185</v>
      </c>
      <c r="B555" s="52" t="s">
        <v>227</v>
      </c>
      <c r="C555" s="52" t="s">
        <v>3528</v>
      </c>
      <c r="D555" s="53" t="s">
        <v>3529</v>
      </c>
      <c r="E555" s="54" t="s">
        <v>112</v>
      </c>
      <c r="F555" s="54" t="s">
        <v>112</v>
      </c>
    </row>
    <row r="556" spans="1:6" ht="12" x14ac:dyDescent="0.2">
      <c r="A556" s="65">
        <v>13186</v>
      </c>
      <c r="B556" s="52" t="s">
        <v>228</v>
      </c>
      <c r="C556" s="52" t="s">
        <v>3530</v>
      </c>
      <c r="D556" s="53" t="s">
        <v>3531</v>
      </c>
      <c r="E556" s="54" t="s">
        <v>112</v>
      </c>
      <c r="F556" s="54" t="s">
        <v>112</v>
      </c>
    </row>
    <row r="557" spans="1:6" ht="12" x14ac:dyDescent="0.2">
      <c r="A557" s="65">
        <v>13187</v>
      </c>
      <c r="B557" s="52" t="s">
        <v>2005</v>
      </c>
      <c r="C557" s="52" t="s">
        <v>3532</v>
      </c>
      <c r="D557" s="53" t="s">
        <v>3533</v>
      </c>
      <c r="E557" s="54" t="s">
        <v>748</v>
      </c>
      <c r="F557" s="54" t="s">
        <v>116</v>
      </c>
    </row>
    <row r="558" spans="1:6" ht="12" x14ac:dyDescent="0.2">
      <c r="A558" s="65">
        <v>13193</v>
      </c>
      <c r="B558" s="52" t="s">
        <v>229</v>
      </c>
      <c r="C558" s="52" t="s">
        <v>3534</v>
      </c>
      <c r="D558" s="53" t="s">
        <v>3535</v>
      </c>
      <c r="E558" s="54" t="s">
        <v>230</v>
      </c>
      <c r="F558" s="54" t="s">
        <v>99</v>
      </c>
    </row>
    <row r="559" spans="1:6" ht="12" x14ac:dyDescent="0.2">
      <c r="A559" s="65">
        <v>13203</v>
      </c>
      <c r="B559" s="52" t="s">
        <v>231</v>
      </c>
      <c r="C559" s="52" t="s">
        <v>3536</v>
      </c>
      <c r="D559" s="53" t="s">
        <v>3537</v>
      </c>
      <c r="E559" s="54" t="s">
        <v>80</v>
      </c>
      <c r="F559" s="54" t="s">
        <v>80</v>
      </c>
    </row>
    <row r="560" spans="1:6" ht="12" x14ac:dyDescent="0.2">
      <c r="A560" s="65">
        <v>13209</v>
      </c>
      <c r="B560" s="52" t="s">
        <v>232</v>
      </c>
      <c r="C560" s="52" t="s">
        <v>3538</v>
      </c>
      <c r="D560" s="53" t="s">
        <v>3370</v>
      </c>
      <c r="E560" s="54" t="s">
        <v>199</v>
      </c>
      <c r="F560" s="54" t="s">
        <v>82</v>
      </c>
    </row>
    <row r="561" spans="1:6" ht="12" x14ac:dyDescent="0.2">
      <c r="A561" s="65">
        <v>13212</v>
      </c>
      <c r="B561" s="52" t="s">
        <v>2006</v>
      </c>
      <c r="C561" s="52" t="s">
        <v>3539</v>
      </c>
      <c r="D561" s="53" t="s">
        <v>3540</v>
      </c>
      <c r="E561" s="54" t="s">
        <v>2006</v>
      </c>
      <c r="F561" s="54" t="s">
        <v>2840</v>
      </c>
    </row>
    <row r="562" spans="1:6" ht="12" x14ac:dyDescent="0.2">
      <c r="A562" s="65">
        <v>13252</v>
      </c>
      <c r="B562" s="52" t="s">
        <v>233</v>
      </c>
      <c r="C562" s="52" t="s">
        <v>3541</v>
      </c>
      <c r="D562" s="53" t="s">
        <v>3542</v>
      </c>
      <c r="E562" s="54" t="s">
        <v>234</v>
      </c>
      <c r="F562" s="54" t="s">
        <v>65</v>
      </c>
    </row>
    <row r="563" spans="1:6" ht="12" x14ac:dyDescent="0.2">
      <c r="A563" s="65">
        <v>13254</v>
      </c>
      <c r="B563" s="52" t="s">
        <v>235</v>
      </c>
      <c r="C563" s="52" t="s">
        <v>3543</v>
      </c>
      <c r="D563" s="53" t="s">
        <v>3544</v>
      </c>
      <c r="E563" s="54" t="s">
        <v>174</v>
      </c>
      <c r="F563" s="54" t="s">
        <v>174</v>
      </c>
    </row>
    <row r="564" spans="1:6" ht="12" x14ac:dyDescent="0.2">
      <c r="A564" s="65">
        <v>13292</v>
      </c>
      <c r="B564" s="52" t="s">
        <v>1483</v>
      </c>
      <c r="C564" s="52" t="s">
        <v>1484</v>
      </c>
      <c r="D564" s="53" t="s">
        <v>3545</v>
      </c>
      <c r="E564" s="54" t="s">
        <v>658</v>
      </c>
      <c r="F564" s="54" t="s">
        <v>84</v>
      </c>
    </row>
    <row r="565" spans="1:6" ht="12" x14ac:dyDescent="0.2">
      <c r="A565" s="65">
        <v>13296</v>
      </c>
      <c r="B565" s="52" t="s">
        <v>630</v>
      </c>
      <c r="C565" s="52" t="s">
        <v>3546</v>
      </c>
      <c r="D565" s="53" t="s">
        <v>3547</v>
      </c>
      <c r="E565" s="54" t="s">
        <v>630</v>
      </c>
      <c r="F565" s="54" t="s">
        <v>99</v>
      </c>
    </row>
    <row r="566" spans="1:6" ht="12" x14ac:dyDescent="0.2">
      <c r="A566" s="65">
        <v>13297</v>
      </c>
      <c r="B566" s="52" t="s">
        <v>236</v>
      </c>
      <c r="C566" s="52" t="s">
        <v>3548</v>
      </c>
      <c r="D566" s="53" t="s">
        <v>3549</v>
      </c>
      <c r="E566" s="54" t="s">
        <v>236</v>
      </c>
      <c r="F566" s="54" t="s">
        <v>51</v>
      </c>
    </row>
    <row r="567" spans="1:6" ht="12" x14ac:dyDescent="0.2">
      <c r="A567" s="65">
        <v>13297</v>
      </c>
      <c r="B567" s="52" t="s">
        <v>236</v>
      </c>
      <c r="C567" s="52" t="s">
        <v>3548</v>
      </c>
      <c r="D567" s="53" t="s">
        <v>3549</v>
      </c>
      <c r="E567" s="54" t="s">
        <v>236</v>
      </c>
      <c r="F567" s="54" t="s">
        <v>51</v>
      </c>
    </row>
    <row r="568" spans="1:6" ht="12" x14ac:dyDescent="0.2">
      <c r="A568" s="65">
        <v>13301</v>
      </c>
      <c r="B568" s="52" t="s">
        <v>3550</v>
      </c>
      <c r="C568" s="52" t="s">
        <v>3551</v>
      </c>
      <c r="D568" s="53" t="s">
        <v>3552</v>
      </c>
      <c r="E568" s="54" t="s">
        <v>1879</v>
      </c>
      <c r="F568" s="54" t="s">
        <v>82</v>
      </c>
    </row>
    <row r="569" spans="1:6" ht="12" x14ac:dyDescent="0.2">
      <c r="A569" s="65">
        <v>13301</v>
      </c>
      <c r="B569" s="52" t="s">
        <v>3550</v>
      </c>
      <c r="C569" s="52" t="s">
        <v>3551</v>
      </c>
      <c r="D569" s="53" t="s">
        <v>3552</v>
      </c>
      <c r="E569" s="54" t="s">
        <v>1879</v>
      </c>
      <c r="F569" s="54" t="s">
        <v>82</v>
      </c>
    </row>
    <row r="570" spans="1:6" ht="12" x14ac:dyDescent="0.2">
      <c r="A570" s="65">
        <v>13305</v>
      </c>
      <c r="B570" s="52" t="s">
        <v>237</v>
      </c>
      <c r="C570" s="52" t="s">
        <v>3553</v>
      </c>
      <c r="D570" s="53" t="s">
        <v>3554</v>
      </c>
      <c r="E570" s="54" t="s">
        <v>174</v>
      </c>
      <c r="F570" s="54" t="s">
        <v>174</v>
      </c>
    </row>
    <row r="571" spans="1:6" ht="12" x14ac:dyDescent="0.2">
      <c r="A571" s="65">
        <v>13321</v>
      </c>
      <c r="B571" s="52" t="s">
        <v>1101</v>
      </c>
      <c r="C571" s="52" t="s">
        <v>3555</v>
      </c>
      <c r="D571" s="53" t="s">
        <v>3556</v>
      </c>
      <c r="E571" s="54" t="s">
        <v>1102</v>
      </c>
      <c r="F571" s="54" t="s">
        <v>82</v>
      </c>
    </row>
    <row r="572" spans="1:6" ht="12" x14ac:dyDescent="0.2">
      <c r="A572" s="65">
        <v>13323</v>
      </c>
      <c r="B572" s="52" t="s">
        <v>2044</v>
      </c>
      <c r="C572" s="52" t="s">
        <v>3557</v>
      </c>
      <c r="D572" s="53" t="s">
        <v>3436</v>
      </c>
      <c r="E572" s="54" t="s">
        <v>210</v>
      </c>
      <c r="F572" s="54" t="s">
        <v>211</v>
      </c>
    </row>
    <row r="573" spans="1:6" ht="12" x14ac:dyDescent="0.2">
      <c r="A573" s="65">
        <v>13331</v>
      </c>
      <c r="B573" s="52" t="s">
        <v>631</v>
      </c>
      <c r="C573" s="52" t="s">
        <v>632</v>
      </c>
      <c r="D573" s="53" t="s">
        <v>3558</v>
      </c>
      <c r="E573" s="54" t="s">
        <v>633</v>
      </c>
      <c r="F573" s="54" t="s">
        <v>108</v>
      </c>
    </row>
    <row r="574" spans="1:6" ht="12" x14ac:dyDescent="0.2">
      <c r="A574" s="65">
        <v>13332</v>
      </c>
      <c r="B574" s="52" t="s">
        <v>3559</v>
      </c>
      <c r="C574" s="52" t="s">
        <v>3560</v>
      </c>
      <c r="D574" s="53" t="s">
        <v>3561</v>
      </c>
      <c r="E574" s="54" t="s">
        <v>3562</v>
      </c>
      <c r="F574" s="54" t="s">
        <v>378</v>
      </c>
    </row>
    <row r="575" spans="1:6" ht="12" x14ac:dyDescent="0.2">
      <c r="A575" s="65">
        <v>13332</v>
      </c>
      <c r="B575" s="52" t="s">
        <v>3559</v>
      </c>
      <c r="C575" s="52" t="s">
        <v>3560</v>
      </c>
      <c r="D575" s="53" t="s">
        <v>3561</v>
      </c>
      <c r="E575" s="54" t="s">
        <v>3562</v>
      </c>
      <c r="F575" s="54" t="s">
        <v>378</v>
      </c>
    </row>
    <row r="576" spans="1:6" ht="12" x14ac:dyDescent="0.2">
      <c r="A576" s="65">
        <v>13335</v>
      </c>
      <c r="B576" s="52" t="s">
        <v>1485</v>
      </c>
      <c r="C576" s="52" t="s">
        <v>3563</v>
      </c>
      <c r="D576" s="53" t="s">
        <v>3564</v>
      </c>
      <c r="E576" s="54" t="s">
        <v>1485</v>
      </c>
      <c r="F576" s="54" t="s">
        <v>84</v>
      </c>
    </row>
    <row r="577" spans="1:6" ht="12" x14ac:dyDescent="0.2">
      <c r="A577" s="65">
        <v>13341</v>
      </c>
      <c r="B577" s="52" t="s">
        <v>238</v>
      </c>
      <c r="C577" s="52" t="s">
        <v>3565</v>
      </c>
      <c r="D577" s="53" t="s">
        <v>3566</v>
      </c>
      <c r="E577" s="54" t="s">
        <v>239</v>
      </c>
      <c r="F577" s="54" t="s">
        <v>239</v>
      </c>
    </row>
    <row r="578" spans="1:6" ht="12" x14ac:dyDescent="0.2">
      <c r="A578" s="65">
        <v>13401</v>
      </c>
      <c r="B578" s="52" t="s">
        <v>3567</v>
      </c>
      <c r="C578" s="52" t="s">
        <v>3568</v>
      </c>
      <c r="D578" s="53" t="s">
        <v>3569</v>
      </c>
      <c r="E578" s="54" t="s">
        <v>118</v>
      </c>
      <c r="F578" s="54" t="s">
        <v>118</v>
      </c>
    </row>
    <row r="579" spans="1:6" ht="12" x14ac:dyDescent="0.2">
      <c r="A579" s="65">
        <v>13406</v>
      </c>
      <c r="B579" s="52" t="s">
        <v>222</v>
      </c>
      <c r="C579" s="52" t="s">
        <v>1486</v>
      </c>
      <c r="D579" s="53" t="s">
        <v>2446</v>
      </c>
      <c r="E579" s="54" t="s">
        <v>498</v>
      </c>
      <c r="F579" s="54" t="s">
        <v>211</v>
      </c>
    </row>
    <row r="580" spans="1:6" ht="12" x14ac:dyDescent="0.2">
      <c r="A580" s="65">
        <v>13413</v>
      </c>
      <c r="B580" s="52" t="s">
        <v>240</v>
      </c>
      <c r="C580" s="52" t="s">
        <v>3570</v>
      </c>
      <c r="D580" s="53" t="s">
        <v>3571</v>
      </c>
      <c r="E580" s="54" t="s">
        <v>80</v>
      </c>
      <c r="F580" s="54" t="s">
        <v>80</v>
      </c>
    </row>
    <row r="581" spans="1:6" ht="12" x14ac:dyDescent="0.2">
      <c r="A581" s="65">
        <v>13438</v>
      </c>
      <c r="B581" s="52" t="s">
        <v>241</v>
      </c>
      <c r="C581" s="52" t="s">
        <v>3572</v>
      </c>
      <c r="D581" s="53" t="s">
        <v>3573</v>
      </c>
      <c r="E581" s="54" t="s">
        <v>48</v>
      </c>
      <c r="F581" s="54" t="s">
        <v>48</v>
      </c>
    </row>
    <row r="582" spans="1:6" ht="12" x14ac:dyDescent="0.2">
      <c r="A582" s="65">
        <v>13444</v>
      </c>
      <c r="B582" s="52" t="s">
        <v>44</v>
      </c>
      <c r="C582" s="52" t="s">
        <v>3574</v>
      </c>
      <c r="D582" s="53" t="s">
        <v>3575</v>
      </c>
      <c r="E582" s="54" t="s">
        <v>44</v>
      </c>
      <c r="F582" s="54" t="s">
        <v>42</v>
      </c>
    </row>
    <row r="583" spans="1:6" ht="12" x14ac:dyDescent="0.2">
      <c r="A583" s="65">
        <v>13450</v>
      </c>
      <c r="B583" s="52" t="s">
        <v>242</v>
      </c>
      <c r="C583" s="52" t="s">
        <v>3576</v>
      </c>
      <c r="D583" s="53" t="s">
        <v>3577</v>
      </c>
      <c r="E583" s="54" t="s">
        <v>158</v>
      </c>
      <c r="F583" s="54" t="s">
        <v>158</v>
      </c>
    </row>
    <row r="584" spans="1:6" ht="12" x14ac:dyDescent="0.2">
      <c r="A584" s="65">
        <v>13451</v>
      </c>
      <c r="B584" s="52" t="s">
        <v>206</v>
      </c>
      <c r="C584" s="52" t="s">
        <v>3578</v>
      </c>
      <c r="D584" s="53" t="s">
        <v>3579</v>
      </c>
      <c r="E584" s="54" t="s">
        <v>1488</v>
      </c>
      <c r="F584" s="54" t="s">
        <v>112</v>
      </c>
    </row>
    <row r="585" spans="1:6" ht="12" x14ac:dyDescent="0.2">
      <c r="A585" s="65">
        <v>13486</v>
      </c>
      <c r="B585" s="52" t="s">
        <v>3580</v>
      </c>
      <c r="C585" s="52" t="s">
        <v>3581</v>
      </c>
      <c r="D585" s="53" t="s">
        <v>3582</v>
      </c>
      <c r="E585" s="54" t="s">
        <v>528</v>
      </c>
      <c r="F585" s="54" t="s">
        <v>108</v>
      </c>
    </row>
    <row r="586" spans="1:6" ht="12" x14ac:dyDescent="0.2">
      <c r="A586" s="65">
        <v>13487</v>
      </c>
      <c r="B586" s="52" t="s">
        <v>243</v>
      </c>
      <c r="C586" s="52" t="s">
        <v>3583</v>
      </c>
      <c r="D586" s="53" t="s">
        <v>3468</v>
      </c>
      <c r="E586" s="54" t="s">
        <v>244</v>
      </c>
      <c r="F586" s="54" t="s">
        <v>37</v>
      </c>
    </row>
    <row r="587" spans="1:6" ht="12" x14ac:dyDescent="0.2">
      <c r="A587" s="65">
        <v>13491</v>
      </c>
      <c r="B587" s="52" t="s">
        <v>1369</v>
      </c>
      <c r="C587" s="52" t="s">
        <v>3584</v>
      </c>
      <c r="D587" s="53" t="s">
        <v>3585</v>
      </c>
      <c r="E587" s="54" t="s">
        <v>1369</v>
      </c>
      <c r="F587" s="54" t="s">
        <v>342</v>
      </c>
    </row>
    <row r="588" spans="1:6" ht="12" x14ac:dyDescent="0.2">
      <c r="A588" s="65">
        <v>13517</v>
      </c>
      <c r="B588" s="52" t="s">
        <v>3586</v>
      </c>
      <c r="C588" s="52" t="s">
        <v>3587</v>
      </c>
      <c r="D588" s="53" t="s">
        <v>2521</v>
      </c>
      <c r="E588" s="54" t="s">
        <v>147</v>
      </c>
      <c r="F588" s="54" t="s">
        <v>145</v>
      </c>
    </row>
    <row r="589" spans="1:6" ht="12" x14ac:dyDescent="0.2">
      <c r="A589" s="65">
        <v>13524</v>
      </c>
      <c r="B589" s="52" t="s">
        <v>634</v>
      </c>
      <c r="C589" s="52" t="s">
        <v>635</v>
      </c>
      <c r="D589" s="53" t="s">
        <v>3588</v>
      </c>
      <c r="E589" s="54" t="s">
        <v>3589</v>
      </c>
      <c r="F589" s="54" t="s">
        <v>82</v>
      </c>
    </row>
    <row r="590" spans="1:6" ht="12" x14ac:dyDescent="0.2">
      <c r="A590" s="65">
        <v>13543</v>
      </c>
      <c r="B590" s="52" t="s">
        <v>1103</v>
      </c>
      <c r="C590" s="52" t="s">
        <v>3590</v>
      </c>
      <c r="D590" s="53" t="s">
        <v>3496</v>
      </c>
      <c r="E590" s="54" t="s">
        <v>3497</v>
      </c>
      <c r="F590" s="54" t="s">
        <v>84</v>
      </c>
    </row>
    <row r="591" spans="1:6" ht="12" x14ac:dyDescent="0.2">
      <c r="A591" s="65">
        <v>13566</v>
      </c>
      <c r="B591" s="52" t="s">
        <v>636</v>
      </c>
      <c r="C591" s="52" t="s">
        <v>3591</v>
      </c>
      <c r="D591" s="53" t="s">
        <v>3592</v>
      </c>
      <c r="E591" s="54" t="s">
        <v>342</v>
      </c>
      <c r="F591" s="54" t="s">
        <v>342</v>
      </c>
    </row>
    <row r="592" spans="1:6" ht="12" x14ac:dyDescent="0.2">
      <c r="A592" s="65">
        <v>14008</v>
      </c>
      <c r="B592" s="52" t="s">
        <v>1104</v>
      </c>
      <c r="C592" s="52" t="s">
        <v>3593</v>
      </c>
      <c r="D592" s="53" t="s">
        <v>3594</v>
      </c>
      <c r="E592" s="54" t="s">
        <v>1104</v>
      </c>
      <c r="F592" s="54" t="s">
        <v>84</v>
      </c>
    </row>
    <row r="593" spans="1:6" ht="12" x14ac:dyDescent="0.2">
      <c r="A593" s="65">
        <v>15001</v>
      </c>
      <c r="B593" s="52" t="s">
        <v>624</v>
      </c>
      <c r="C593" s="52" t="s">
        <v>3595</v>
      </c>
      <c r="D593" s="53" t="s">
        <v>3168</v>
      </c>
      <c r="E593" s="54" t="s">
        <v>173</v>
      </c>
      <c r="F593" s="54" t="s">
        <v>174</v>
      </c>
    </row>
    <row r="594" spans="1:6" ht="12" x14ac:dyDescent="0.2">
      <c r="A594" s="65">
        <v>15013</v>
      </c>
      <c r="B594" s="52" t="s">
        <v>245</v>
      </c>
      <c r="C594" s="52" t="s">
        <v>3596</v>
      </c>
      <c r="D594" s="53" t="s">
        <v>2715</v>
      </c>
      <c r="E594" s="54" t="s">
        <v>127</v>
      </c>
      <c r="F594" s="54" t="s">
        <v>2505</v>
      </c>
    </row>
    <row r="595" spans="1:6" ht="12" x14ac:dyDescent="0.2">
      <c r="A595" s="65">
        <v>15031</v>
      </c>
      <c r="B595" s="52" t="s">
        <v>1105</v>
      </c>
      <c r="C595" s="52" t="s">
        <v>3597</v>
      </c>
      <c r="D595" s="53" t="s">
        <v>2844</v>
      </c>
      <c r="E595" s="54" t="s">
        <v>405</v>
      </c>
      <c r="F595" s="54" t="s">
        <v>118</v>
      </c>
    </row>
    <row r="596" spans="1:6" ht="12" x14ac:dyDescent="0.2">
      <c r="A596" s="65">
        <v>15034</v>
      </c>
      <c r="B596" s="52" t="s">
        <v>3598</v>
      </c>
      <c r="C596" s="52" t="s">
        <v>3599</v>
      </c>
      <c r="D596" s="53" t="s">
        <v>3600</v>
      </c>
      <c r="E596" s="54" t="s">
        <v>3601</v>
      </c>
      <c r="F596" s="54" t="s">
        <v>51</v>
      </c>
    </row>
    <row r="597" spans="1:6" ht="12" x14ac:dyDescent="0.2">
      <c r="A597" s="65">
        <v>15038</v>
      </c>
      <c r="B597" s="52" t="s">
        <v>1489</v>
      </c>
      <c r="C597" s="52" t="s">
        <v>3602</v>
      </c>
      <c r="D597" s="53" t="s">
        <v>3603</v>
      </c>
      <c r="E597" s="54" t="s">
        <v>1490</v>
      </c>
      <c r="F597" s="54" t="s">
        <v>35</v>
      </c>
    </row>
    <row r="598" spans="1:6" ht="12" x14ac:dyDescent="0.2">
      <c r="A598" s="65">
        <v>15056</v>
      </c>
      <c r="B598" s="52" t="s">
        <v>1106</v>
      </c>
      <c r="C598" s="52" t="s">
        <v>3604</v>
      </c>
      <c r="D598" s="53" t="s">
        <v>3605</v>
      </c>
      <c r="E598" s="54" t="s">
        <v>1106</v>
      </c>
      <c r="F598" s="54" t="s">
        <v>108</v>
      </c>
    </row>
    <row r="599" spans="1:6" ht="12" x14ac:dyDescent="0.2">
      <c r="A599" s="65">
        <v>15056</v>
      </c>
      <c r="B599" s="52" t="s">
        <v>1106</v>
      </c>
      <c r="C599" s="52" t="s">
        <v>3604</v>
      </c>
      <c r="D599" s="53" t="s">
        <v>3605</v>
      </c>
      <c r="E599" s="54" t="s">
        <v>1106</v>
      </c>
      <c r="F599" s="54" t="s">
        <v>108</v>
      </c>
    </row>
    <row r="600" spans="1:6" ht="12" x14ac:dyDescent="0.2">
      <c r="A600" s="65">
        <v>15060</v>
      </c>
      <c r="B600" s="52" t="s">
        <v>1491</v>
      </c>
      <c r="C600" s="52" t="s">
        <v>3606</v>
      </c>
      <c r="D600" s="53" t="s">
        <v>3607</v>
      </c>
      <c r="E600" s="54" t="s">
        <v>1492</v>
      </c>
      <c r="F600" s="54" t="s">
        <v>80</v>
      </c>
    </row>
    <row r="601" spans="1:6" ht="12" x14ac:dyDescent="0.2">
      <c r="A601" s="65">
        <v>15064</v>
      </c>
      <c r="B601" s="52" t="s">
        <v>1493</v>
      </c>
      <c r="C601" s="52" t="s">
        <v>3608</v>
      </c>
      <c r="D601" s="53" t="s">
        <v>3609</v>
      </c>
      <c r="E601" s="54" t="s">
        <v>1494</v>
      </c>
      <c r="F601" s="54" t="s">
        <v>332</v>
      </c>
    </row>
    <row r="602" spans="1:6" ht="12" x14ac:dyDescent="0.2">
      <c r="A602" s="65">
        <v>15070</v>
      </c>
      <c r="B602" s="52" t="s">
        <v>3610</v>
      </c>
      <c r="C602" s="52" t="s">
        <v>3611</v>
      </c>
      <c r="D602" s="53" t="s">
        <v>3612</v>
      </c>
      <c r="E602" s="54" t="s">
        <v>661</v>
      </c>
      <c r="F602" s="54" t="s">
        <v>640</v>
      </c>
    </row>
    <row r="603" spans="1:6" ht="12" x14ac:dyDescent="0.2">
      <c r="A603" s="65">
        <v>15075</v>
      </c>
      <c r="B603" s="52" t="s">
        <v>637</v>
      </c>
      <c r="C603" s="52" t="s">
        <v>3613</v>
      </c>
      <c r="D603" s="53" t="s">
        <v>3614</v>
      </c>
      <c r="E603" s="54" t="s">
        <v>65</v>
      </c>
      <c r="F603" s="54" t="s">
        <v>65</v>
      </c>
    </row>
    <row r="604" spans="1:6" ht="12" x14ac:dyDescent="0.2">
      <c r="A604" s="65">
        <v>15089</v>
      </c>
      <c r="B604" s="52" t="s">
        <v>246</v>
      </c>
      <c r="C604" s="52" t="s">
        <v>3615</v>
      </c>
      <c r="D604" s="53" t="s">
        <v>3472</v>
      </c>
      <c r="E604" s="54" t="s">
        <v>3473</v>
      </c>
      <c r="F604" s="54" t="s">
        <v>82</v>
      </c>
    </row>
    <row r="605" spans="1:6" ht="12" x14ac:dyDescent="0.2">
      <c r="A605" s="65">
        <v>15094</v>
      </c>
      <c r="B605" s="52" t="s">
        <v>3616</v>
      </c>
      <c r="C605" s="52" t="s">
        <v>3617</v>
      </c>
      <c r="D605" s="53" t="s">
        <v>3618</v>
      </c>
      <c r="E605" s="54" t="s">
        <v>247</v>
      </c>
      <c r="F605" s="54" t="s">
        <v>154</v>
      </c>
    </row>
    <row r="606" spans="1:6" ht="12" x14ac:dyDescent="0.2">
      <c r="A606" s="65">
        <v>15109</v>
      </c>
      <c r="B606" s="52" t="s">
        <v>3619</v>
      </c>
      <c r="C606" s="52" t="s">
        <v>3620</v>
      </c>
      <c r="D606" s="53" t="s">
        <v>3621</v>
      </c>
      <c r="E606" s="54" t="s">
        <v>84</v>
      </c>
      <c r="F606" s="54" t="s">
        <v>84</v>
      </c>
    </row>
    <row r="607" spans="1:6" ht="12" x14ac:dyDescent="0.2">
      <c r="A607" s="65">
        <v>15110</v>
      </c>
      <c r="B607" s="52" t="s">
        <v>248</v>
      </c>
      <c r="C607" s="52" t="s">
        <v>3622</v>
      </c>
      <c r="D607" s="53" t="s">
        <v>3623</v>
      </c>
      <c r="E607" s="54" t="s">
        <v>249</v>
      </c>
      <c r="F607" s="54" t="s">
        <v>84</v>
      </c>
    </row>
    <row r="608" spans="1:6" ht="12" x14ac:dyDescent="0.2">
      <c r="A608" s="65">
        <v>15121</v>
      </c>
      <c r="B608" s="52" t="s">
        <v>1496</v>
      </c>
      <c r="C608" s="52" t="s">
        <v>3624</v>
      </c>
      <c r="D608" s="53" t="s">
        <v>3625</v>
      </c>
      <c r="E608" s="54" t="s">
        <v>1497</v>
      </c>
      <c r="F608" s="54" t="s">
        <v>342</v>
      </c>
    </row>
    <row r="609" spans="1:6" ht="12" x14ac:dyDescent="0.2">
      <c r="A609" s="65">
        <v>15122</v>
      </c>
      <c r="B609" s="52" t="s">
        <v>1498</v>
      </c>
      <c r="C609" s="52" t="s">
        <v>3626</v>
      </c>
      <c r="D609" s="53" t="s">
        <v>3627</v>
      </c>
      <c r="E609" s="54" t="s">
        <v>1499</v>
      </c>
      <c r="F609" s="54" t="s">
        <v>174</v>
      </c>
    </row>
    <row r="610" spans="1:6" ht="12" x14ac:dyDescent="0.2">
      <c r="A610" s="65">
        <v>15128</v>
      </c>
      <c r="B610" s="52" t="s">
        <v>3628</v>
      </c>
      <c r="C610" s="52" t="s">
        <v>3629</v>
      </c>
      <c r="D610" s="53" t="s">
        <v>3630</v>
      </c>
      <c r="E610" s="54" t="s">
        <v>1107</v>
      </c>
      <c r="F610" s="54" t="s">
        <v>887</v>
      </c>
    </row>
    <row r="611" spans="1:6" ht="12" x14ac:dyDescent="0.2">
      <c r="A611" s="65">
        <v>15137</v>
      </c>
      <c r="B611" s="52" t="s">
        <v>1500</v>
      </c>
      <c r="C611" s="52" t="s">
        <v>3631</v>
      </c>
      <c r="D611" s="53" t="s">
        <v>3632</v>
      </c>
      <c r="E611" s="54" t="s">
        <v>704</v>
      </c>
      <c r="F611" s="54" t="s">
        <v>158</v>
      </c>
    </row>
    <row r="612" spans="1:6" ht="12" x14ac:dyDescent="0.2">
      <c r="A612" s="65">
        <v>15146</v>
      </c>
      <c r="B612" s="52" t="s">
        <v>301</v>
      </c>
      <c r="C612" s="52" t="s">
        <v>3633</v>
      </c>
      <c r="D612" s="53" t="s">
        <v>3166</v>
      </c>
      <c r="E612" s="54" t="s">
        <v>1108</v>
      </c>
      <c r="F612" s="54" t="s">
        <v>116</v>
      </c>
    </row>
    <row r="613" spans="1:6" ht="12" x14ac:dyDescent="0.2">
      <c r="A613" s="65">
        <v>15166</v>
      </c>
      <c r="B613" s="52" t="s">
        <v>1501</v>
      </c>
      <c r="C613" s="52" t="s">
        <v>3634</v>
      </c>
      <c r="D613" s="53" t="s">
        <v>3635</v>
      </c>
      <c r="E613" s="54" t="s">
        <v>1502</v>
      </c>
      <c r="F613" s="54" t="s">
        <v>63</v>
      </c>
    </row>
    <row r="614" spans="1:6" ht="12" x14ac:dyDescent="0.2">
      <c r="A614" s="65">
        <v>15171</v>
      </c>
      <c r="B614" s="52" t="s">
        <v>3636</v>
      </c>
      <c r="C614" s="52" t="s">
        <v>3637</v>
      </c>
      <c r="D614" s="53" t="s">
        <v>3638</v>
      </c>
      <c r="E614" s="54" t="s">
        <v>710</v>
      </c>
      <c r="F614" s="54" t="s">
        <v>108</v>
      </c>
    </row>
    <row r="615" spans="1:6" ht="12" x14ac:dyDescent="0.2">
      <c r="A615" s="65">
        <v>15178</v>
      </c>
      <c r="B615" s="52" t="s">
        <v>2007</v>
      </c>
      <c r="C615" s="52" t="s">
        <v>2008</v>
      </c>
      <c r="D615" s="53" t="s">
        <v>3639</v>
      </c>
      <c r="E615" s="54" t="s">
        <v>174</v>
      </c>
      <c r="F615" s="54" t="s">
        <v>174</v>
      </c>
    </row>
    <row r="616" spans="1:6" ht="12" x14ac:dyDescent="0.2">
      <c r="A616" s="65">
        <v>15184</v>
      </c>
      <c r="B616" s="52" t="s">
        <v>1503</v>
      </c>
      <c r="C616" s="52" t="s">
        <v>3410</v>
      </c>
      <c r="D616" s="53" t="s">
        <v>3411</v>
      </c>
      <c r="E616" s="54" t="s">
        <v>1452</v>
      </c>
      <c r="F616" s="54" t="s">
        <v>158</v>
      </c>
    </row>
    <row r="617" spans="1:6" ht="12" x14ac:dyDescent="0.2">
      <c r="A617" s="65">
        <v>15190</v>
      </c>
      <c r="B617" s="52" t="s">
        <v>1504</v>
      </c>
      <c r="C617" s="52" t="s">
        <v>3641</v>
      </c>
      <c r="D617" s="53" t="s">
        <v>3642</v>
      </c>
      <c r="E617" s="54" t="s">
        <v>1505</v>
      </c>
      <c r="F617" s="54" t="s">
        <v>179</v>
      </c>
    </row>
    <row r="618" spans="1:6" ht="12" x14ac:dyDescent="0.2">
      <c r="A618" s="65">
        <v>15201</v>
      </c>
      <c r="B618" s="52" t="s">
        <v>1109</v>
      </c>
      <c r="C618" s="52" t="s">
        <v>3643</v>
      </c>
      <c r="D618" s="53" t="s">
        <v>3644</v>
      </c>
      <c r="E618" s="54" t="s">
        <v>1110</v>
      </c>
      <c r="F618" s="54" t="s">
        <v>82</v>
      </c>
    </row>
    <row r="619" spans="1:6" ht="12" x14ac:dyDescent="0.2">
      <c r="A619" s="65">
        <v>15208</v>
      </c>
      <c r="B619" s="52" t="s">
        <v>1111</v>
      </c>
      <c r="C619" s="52" t="s">
        <v>3645</v>
      </c>
      <c r="D619" s="53" t="s">
        <v>2589</v>
      </c>
      <c r="E619" s="54" t="s">
        <v>1005</v>
      </c>
      <c r="F619" s="54" t="s">
        <v>174</v>
      </c>
    </row>
    <row r="620" spans="1:6" ht="12" x14ac:dyDescent="0.2">
      <c r="A620" s="65">
        <v>15234</v>
      </c>
      <c r="B620" s="52" t="s">
        <v>638</v>
      </c>
      <c r="C620" s="52" t="s">
        <v>3646</v>
      </c>
      <c r="D620" s="53" t="s">
        <v>3316</v>
      </c>
      <c r="E620" s="54" t="s">
        <v>598</v>
      </c>
      <c r="F620" s="54" t="s">
        <v>211</v>
      </c>
    </row>
    <row r="621" spans="1:6" ht="12" x14ac:dyDescent="0.2">
      <c r="A621" s="65">
        <v>15264</v>
      </c>
      <c r="B621" s="52" t="s">
        <v>1506</v>
      </c>
      <c r="C621" s="52" t="s">
        <v>3647</v>
      </c>
      <c r="D621" s="53" t="s">
        <v>3648</v>
      </c>
      <c r="E621" s="54" t="s">
        <v>51</v>
      </c>
      <c r="F621" s="54" t="s">
        <v>51</v>
      </c>
    </row>
    <row r="622" spans="1:6" ht="12" x14ac:dyDescent="0.2">
      <c r="A622" s="65">
        <v>15268</v>
      </c>
      <c r="B622" s="52" t="s">
        <v>1112</v>
      </c>
      <c r="C622" s="52" t="s">
        <v>3649</v>
      </c>
      <c r="D622" s="53" t="s">
        <v>3650</v>
      </c>
      <c r="E622" s="54" t="s">
        <v>1112</v>
      </c>
      <c r="F622" s="54" t="s">
        <v>84</v>
      </c>
    </row>
    <row r="623" spans="1:6" ht="12" x14ac:dyDescent="0.2">
      <c r="A623" s="65">
        <v>15275</v>
      </c>
      <c r="B623" s="52" t="s">
        <v>1507</v>
      </c>
      <c r="C623" s="52" t="s">
        <v>3651</v>
      </c>
      <c r="D623" s="53" t="s">
        <v>3652</v>
      </c>
      <c r="E623" s="54" t="s">
        <v>1508</v>
      </c>
      <c r="F623" s="54" t="s">
        <v>99</v>
      </c>
    </row>
    <row r="624" spans="1:6" ht="12" x14ac:dyDescent="0.2">
      <c r="A624" s="65">
        <v>15277</v>
      </c>
      <c r="B624" s="52" t="s">
        <v>1113</v>
      </c>
      <c r="C624" s="52" t="s">
        <v>3653</v>
      </c>
      <c r="D624" s="53" t="s">
        <v>3654</v>
      </c>
      <c r="E624" s="54" t="s">
        <v>1114</v>
      </c>
      <c r="F624" s="54" t="s">
        <v>84</v>
      </c>
    </row>
    <row r="625" spans="1:6" ht="12" x14ac:dyDescent="0.2">
      <c r="A625" s="65">
        <v>15281</v>
      </c>
      <c r="B625" s="52" t="s">
        <v>639</v>
      </c>
      <c r="C625" s="52" t="s">
        <v>3655</v>
      </c>
      <c r="D625" s="53" t="s">
        <v>3656</v>
      </c>
      <c r="E625" s="54" t="s">
        <v>259</v>
      </c>
      <c r="F625" s="54" t="s">
        <v>108</v>
      </c>
    </row>
    <row r="626" spans="1:6" ht="12" x14ac:dyDescent="0.2">
      <c r="A626" s="65">
        <v>15287</v>
      </c>
      <c r="B626" s="52" t="s">
        <v>1115</v>
      </c>
      <c r="C626" s="52" t="s">
        <v>3657</v>
      </c>
      <c r="D626" s="53" t="s">
        <v>3658</v>
      </c>
      <c r="E626" s="54" t="s">
        <v>3659</v>
      </c>
      <c r="F626" s="54" t="s">
        <v>135</v>
      </c>
    </row>
    <row r="627" spans="1:6" ht="12" x14ac:dyDescent="0.2">
      <c r="A627" s="65">
        <v>15291</v>
      </c>
      <c r="B627" s="52" t="s">
        <v>3660</v>
      </c>
      <c r="C627" s="52" t="s">
        <v>3661</v>
      </c>
      <c r="D627" s="53" t="s">
        <v>3662</v>
      </c>
      <c r="E627" s="54" t="s">
        <v>3660</v>
      </c>
      <c r="F627" s="54" t="s">
        <v>38</v>
      </c>
    </row>
    <row r="628" spans="1:6" ht="12" x14ac:dyDescent="0.2">
      <c r="A628" s="65">
        <v>15291</v>
      </c>
      <c r="B628" s="52" t="s">
        <v>3660</v>
      </c>
      <c r="C628" s="52" t="s">
        <v>3661</v>
      </c>
      <c r="D628" s="53" t="s">
        <v>3662</v>
      </c>
      <c r="E628" s="54" t="s">
        <v>3660</v>
      </c>
      <c r="F628" s="54" t="s">
        <v>38</v>
      </c>
    </row>
    <row r="629" spans="1:6" ht="12" x14ac:dyDescent="0.2">
      <c r="A629" s="65">
        <v>15298</v>
      </c>
      <c r="B629" s="52" t="s">
        <v>1509</v>
      </c>
      <c r="C629" s="52" t="s">
        <v>3663</v>
      </c>
      <c r="D629" s="53" t="s">
        <v>3664</v>
      </c>
      <c r="E629" s="54" t="s">
        <v>251</v>
      </c>
      <c r="F629" s="54" t="s">
        <v>251</v>
      </c>
    </row>
    <row r="630" spans="1:6" ht="12" x14ac:dyDescent="0.2">
      <c r="A630" s="65">
        <v>15317</v>
      </c>
      <c r="B630" s="52" t="s">
        <v>1510</v>
      </c>
      <c r="C630" s="52" t="s">
        <v>3665</v>
      </c>
      <c r="D630" s="53" t="s">
        <v>3666</v>
      </c>
      <c r="E630" s="54" t="s">
        <v>1231</v>
      </c>
      <c r="F630" s="54" t="s">
        <v>152</v>
      </c>
    </row>
    <row r="631" spans="1:6" ht="12" x14ac:dyDescent="0.2">
      <c r="A631" s="65">
        <v>15347</v>
      </c>
      <c r="B631" s="52" t="s">
        <v>1116</v>
      </c>
      <c r="C631" s="52" t="s">
        <v>3667</v>
      </c>
      <c r="D631" s="53" t="s">
        <v>2581</v>
      </c>
      <c r="E631" s="54" t="s">
        <v>168</v>
      </c>
      <c r="F631" s="54" t="s">
        <v>108</v>
      </c>
    </row>
    <row r="632" spans="1:6" ht="12" x14ac:dyDescent="0.2">
      <c r="A632" s="65">
        <v>15359</v>
      </c>
      <c r="B632" s="52" t="s">
        <v>1511</v>
      </c>
      <c r="C632" s="52" t="s">
        <v>3668</v>
      </c>
      <c r="D632" s="53" t="s">
        <v>3669</v>
      </c>
      <c r="E632" s="54" t="s">
        <v>1512</v>
      </c>
      <c r="F632" s="54" t="s">
        <v>640</v>
      </c>
    </row>
    <row r="633" spans="1:6" ht="12" x14ac:dyDescent="0.2">
      <c r="A633" s="65">
        <v>15363</v>
      </c>
      <c r="B633" s="52" t="s">
        <v>1513</v>
      </c>
      <c r="C633" s="52" t="s">
        <v>3670</v>
      </c>
      <c r="D633" s="53" t="s">
        <v>3666</v>
      </c>
      <c r="E633" s="54" t="s">
        <v>1231</v>
      </c>
      <c r="F633" s="54" t="s">
        <v>152</v>
      </c>
    </row>
    <row r="634" spans="1:6" ht="12" x14ac:dyDescent="0.2">
      <c r="A634" s="65">
        <v>15373</v>
      </c>
      <c r="B634" s="52" t="s">
        <v>250</v>
      </c>
      <c r="C634" s="52" t="s">
        <v>3671</v>
      </c>
      <c r="D634" s="53" t="s">
        <v>3672</v>
      </c>
      <c r="E634" s="54" t="s">
        <v>251</v>
      </c>
      <c r="F634" s="54" t="s">
        <v>251</v>
      </c>
    </row>
    <row r="635" spans="1:6" ht="12" x14ac:dyDescent="0.2">
      <c r="A635" s="65">
        <v>15404</v>
      </c>
      <c r="B635" s="52" t="s">
        <v>3673</v>
      </c>
      <c r="C635" s="52" t="s">
        <v>3674</v>
      </c>
      <c r="D635" s="53" t="s">
        <v>3675</v>
      </c>
      <c r="E635" s="54" t="s">
        <v>84</v>
      </c>
      <c r="F635" s="54" t="s">
        <v>84</v>
      </c>
    </row>
    <row r="636" spans="1:6" ht="12" x14ac:dyDescent="0.2">
      <c r="A636" s="65">
        <v>15424</v>
      </c>
      <c r="B636" s="52" t="s">
        <v>1880</v>
      </c>
      <c r="C636" s="52" t="s">
        <v>3676</v>
      </c>
      <c r="D636" s="53" t="s">
        <v>3677</v>
      </c>
      <c r="E636" s="54" t="s">
        <v>1881</v>
      </c>
      <c r="F636" s="54" t="s">
        <v>97</v>
      </c>
    </row>
    <row r="637" spans="1:6" ht="12" x14ac:dyDescent="0.2">
      <c r="A637" s="65">
        <v>15426</v>
      </c>
      <c r="B637" s="52" t="s">
        <v>1117</v>
      </c>
      <c r="C637" s="52" t="s">
        <v>3678</v>
      </c>
      <c r="D637" s="53" t="s">
        <v>3679</v>
      </c>
      <c r="E637" s="54" t="s">
        <v>1118</v>
      </c>
      <c r="F637" s="54" t="s">
        <v>342</v>
      </c>
    </row>
    <row r="638" spans="1:6" ht="12" x14ac:dyDescent="0.2">
      <c r="A638" s="65">
        <v>15428</v>
      </c>
      <c r="B638" s="52" t="s">
        <v>3680</v>
      </c>
      <c r="C638" s="52" t="s">
        <v>3681</v>
      </c>
      <c r="D638" s="53" t="s">
        <v>3682</v>
      </c>
      <c r="E638" s="54" t="s">
        <v>324</v>
      </c>
      <c r="F638" s="54" t="s">
        <v>2505</v>
      </c>
    </row>
    <row r="639" spans="1:6" ht="12" x14ac:dyDescent="0.2">
      <c r="A639" s="65">
        <v>15428</v>
      </c>
      <c r="B639" s="52" t="s">
        <v>3680</v>
      </c>
      <c r="C639" s="52" t="s">
        <v>3681</v>
      </c>
      <c r="D639" s="53" t="s">
        <v>3682</v>
      </c>
      <c r="E639" s="54" t="s">
        <v>324</v>
      </c>
      <c r="F639" s="54" t="s">
        <v>2505</v>
      </c>
    </row>
    <row r="640" spans="1:6" ht="12" x14ac:dyDescent="0.2">
      <c r="A640" s="65">
        <v>15439</v>
      </c>
      <c r="B640" s="52" t="s">
        <v>1514</v>
      </c>
      <c r="C640" s="52" t="s">
        <v>3683</v>
      </c>
      <c r="D640" s="53" t="s">
        <v>3684</v>
      </c>
      <c r="E640" s="54" t="s">
        <v>1514</v>
      </c>
      <c r="F640" s="54" t="s">
        <v>342</v>
      </c>
    </row>
    <row r="641" spans="1:6" ht="12" x14ac:dyDescent="0.2">
      <c r="A641" s="65">
        <v>15443</v>
      </c>
      <c r="B641" s="52" t="s">
        <v>1119</v>
      </c>
      <c r="C641" s="52" t="s">
        <v>3685</v>
      </c>
      <c r="D641" s="53" t="s">
        <v>3501</v>
      </c>
      <c r="E641" s="54" t="s">
        <v>1099</v>
      </c>
      <c r="F641" s="54" t="s">
        <v>285</v>
      </c>
    </row>
    <row r="642" spans="1:6" ht="12" x14ac:dyDescent="0.2">
      <c r="A642" s="65">
        <v>15445</v>
      </c>
      <c r="B642" s="52" t="s">
        <v>1120</v>
      </c>
      <c r="C642" s="52" t="s">
        <v>3686</v>
      </c>
      <c r="D642" s="53" t="s">
        <v>3687</v>
      </c>
      <c r="E642" s="54" t="s">
        <v>1120</v>
      </c>
      <c r="F642" s="54" t="s">
        <v>179</v>
      </c>
    </row>
    <row r="643" spans="1:6" ht="12" x14ac:dyDescent="0.2">
      <c r="A643" s="65">
        <v>15448</v>
      </c>
      <c r="B643" s="52" t="s">
        <v>252</v>
      </c>
      <c r="C643" s="52" t="s">
        <v>3688</v>
      </c>
      <c r="D643" s="53" t="s">
        <v>3283</v>
      </c>
      <c r="E643" s="54" t="s">
        <v>253</v>
      </c>
      <c r="F643" s="54" t="s">
        <v>253</v>
      </c>
    </row>
    <row r="644" spans="1:6" ht="12" x14ac:dyDescent="0.2">
      <c r="A644" s="65">
        <v>15449</v>
      </c>
      <c r="B644" s="52" t="s">
        <v>1515</v>
      </c>
      <c r="C644" s="52" t="s">
        <v>3689</v>
      </c>
      <c r="D644" s="53" t="s">
        <v>3690</v>
      </c>
      <c r="E644" s="54" t="s">
        <v>1516</v>
      </c>
      <c r="F644" s="54" t="s">
        <v>342</v>
      </c>
    </row>
    <row r="645" spans="1:6" ht="12" x14ac:dyDescent="0.2">
      <c r="A645" s="65">
        <v>15449</v>
      </c>
      <c r="B645" s="52" t="s">
        <v>1515</v>
      </c>
      <c r="C645" s="52" t="s">
        <v>3689</v>
      </c>
      <c r="D645" s="53" t="s">
        <v>3690</v>
      </c>
      <c r="E645" s="54" t="s">
        <v>1516</v>
      </c>
      <c r="F645" s="54" t="s">
        <v>342</v>
      </c>
    </row>
    <row r="646" spans="1:6" ht="12" x14ac:dyDescent="0.2">
      <c r="A646" s="65">
        <v>15460</v>
      </c>
      <c r="B646" s="52" t="s">
        <v>1517</v>
      </c>
      <c r="C646" s="52" t="s">
        <v>3691</v>
      </c>
      <c r="D646" s="53" t="s">
        <v>3692</v>
      </c>
      <c r="E646" s="54" t="s">
        <v>1518</v>
      </c>
      <c r="F646" s="54" t="s">
        <v>80</v>
      </c>
    </row>
    <row r="647" spans="1:6" ht="12" x14ac:dyDescent="0.2">
      <c r="A647" s="65">
        <v>15463</v>
      </c>
      <c r="B647" s="52" t="s">
        <v>1519</v>
      </c>
      <c r="C647" s="52" t="s">
        <v>3693</v>
      </c>
      <c r="D647" s="53" t="s">
        <v>3694</v>
      </c>
      <c r="E647" s="54" t="s">
        <v>1520</v>
      </c>
      <c r="F647" s="54" t="s">
        <v>99</v>
      </c>
    </row>
    <row r="648" spans="1:6" ht="12" x14ac:dyDescent="0.2">
      <c r="A648" s="65">
        <v>15481</v>
      </c>
      <c r="B648" s="52" t="s">
        <v>254</v>
      </c>
      <c r="C648" s="52" t="s">
        <v>3695</v>
      </c>
      <c r="D648" s="53" t="s">
        <v>3696</v>
      </c>
      <c r="E648" s="54" t="s">
        <v>84</v>
      </c>
      <c r="F648" s="54" t="s">
        <v>84</v>
      </c>
    </row>
    <row r="649" spans="1:6" ht="12" x14ac:dyDescent="0.2">
      <c r="A649" s="65">
        <v>15499</v>
      </c>
      <c r="B649" s="52" t="s">
        <v>1521</v>
      </c>
      <c r="C649" s="52" t="s">
        <v>3697</v>
      </c>
      <c r="D649" s="53" t="s">
        <v>3698</v>
      </c>
      <c r="E649" s="54" t="s">
        <v>1522</v>
      </c>
      <c r="F649" s="54" t="s">
        <v>211</v>
      </c>
    </row>
    <row r="650" spans="1:6" ht="12" x14ac:dyDescent="0.2">
      <c r="A650" s="65">
        <v>15506</v>
      </c>
      <c r="B650" s="52" t="s">
        <v>2113</v>
      </c>
      <c r="C650" s="52" t="s">
        <v>3699</v>
      </c>
      <c r="D650" s="53" t="s">
        <v>3700</v>
      </c>
      <c r="E650" s="54" t="s">
        <v>152</v>
      </c>
      <c r="F650" s="54" t="s">
        <v>152</v>
      </c>
    </row>
    <row r="651" spans="1:6" ht="12" x14ac:dyDescent="0.2">
      <c r="A651" s="65">
        <v>15512</v>
      </c>
      <c r="B651" s="52" t="s">
        <v>255</v>
      </c>
      <c r="C651" s="52" t="s">
        <v>3701</v>
      </c>
      <c r="D651" s="53" t="s">
        <v>3702</v>
      </c>
      <c r="E651" s="54" t="s">
        <v>255</v>
      </c>
      <c r="F651" s="54" t="s">
        <v>82</v>
      </c>
    </row>
    <row r="652" spans="1:6" ht="12" x14ac:dyDescent="0.2">
      <c r="A652" s="65">
        <v>15520</v>
      </c>
      <c r="B652" s="52" t="s">
        <v>2058</v>
      </c>
      <c r="C652" s="52" t="s">
        <v>3703</v>
      </c>
      <c r="D652" s="53" t="s">
        <v>3704</v>
      </c>
      <c r="E652" s="54" t="s">
        <v>1523</v>
      </c>
      <c r="F652" s="54" t="s">
        <v>239</v>
      </c>
    </row>
    <row r="653" spans="1:6" ht="12" x14ac:dyDescent="0.2">
      <c r="A653" s="65">
        <v>15532</v>
      </c>
      <c r="B653" s="52" t="s">
        <v>1524</v>
      </c>
      <c r="C653" s="52" t="s">
        <v>1525</v>
      </c>
      <c r="D653" s="53" t="s">
        <v>3705</v>
      </c>
      <c r="E653" s="54" t="s">
        <v>913</v>
      </c>
      <c r="F653" s="54" t="s">
        <v>38</v>
      </c>
    </row>
    <row r="654" spans="1:6" ht="12" x14ac:dyDescent="0.2">
      <c r="A654" s="65">
        <v>15538</v>
      </c>
      <c r="B654" s="52" t="s">
        <v>1526</v>
      </c>
      <c r="C654" s="52" t="s">
        <v>3706</v>
      </c>
      <c r="D654" s="53" t="s">
        <v>3707</v>
      </c>
      <c r="E654" s="54" t="s">
        <v>1526</v>
      </c>
      <c r="F654" s="54" t="s">
        <v>63</v>
      </c>
    </row>
    <row r="655" spans="1:6" ht="12" x14ac:dyDescent="0.2">
      <c r="A655" s="65">
        <v>15555</v>
      </c>
      <c r="B655" s="52" t="s">
        <v>1527</v>
      </c>
      <c r="C655" s="52" t="s">
        <v>3708</v>
      </c>
      <c r="D655" s="53" t="s">
        <v>3709</v>
      </c>
      <c r="E655" s="54" t="s">
        <v>1529</v>
      </c>
      <c r="F655" s="54" t="s">
        <v>211</v>
      </c>
    </row>
    <row r="656" spans="1:6" ht="12" x14ac:dyDescent="0.2">
      <c r="A656" s="65">
        <v>15575</v>
      </c>
      <c r="B656" s="52" t="s">
        <v>1111</v>
      </c>
      <c r="C656" s="52" t="s">
        <v>3710</v>
      </c>
      <c r="D656" s="53" t="s">
        <v>3711</v>
      </c>
      <c r="E656" s="54" t="s">
        <v>1530</v>
      </c>
      <c r="F656" s="54" t="s">
        <v>253</v>
      </c>
    </row>
    <row r="657" spans="1:6" ht="12" x14ac:dyDescent="0.2">
      <c r="A657" s="65">
        <v>15582</v>
      </c>
      <c r="B657" s="52" t="s">
        <v>1531</v>
      </c>
      <c r="C657" s="52" t="s">
        <v>3712</v>
      </c>
      <c r="D657" s="53" t="s">
        <v>3713</v>
      </c>
      <c r="E657" s="54" t="s">
        <v>1532</v>
      </c>
      <c r="F657" s="54" t="s">
        <v>207</v>
      </c>
    </row>
    <row r="658" spans="1:6" ht="12" x14ac:dyDescent="0.2">
      <c r="A658" s="65">
        <v>15587</v>
      </c>
      <c r="B658" s="52" t="s">
        <v>1533</v>
      </c>
      <c r="C658" s="52" t="s">
        <v>3714</v>
      </c>
      <c r="D658" s="53" t="s">
        <v>3715</v>
      </c>
      <c r="E658" s="54" t="s">
        <v>1534</v>
      </c>
      <c r="F658" s="54" t="s">
        <v>239</v>
      </c>
    </row>
    <row r="659" spans="1:6" ht="12" x14ac:dyDescent="0.2">
      <c r="A659" s="65">
        <v>15596</v>
      </c>
      <c r="B659" s="52" t="s">
        <v>641</v>
      </c>
      <c r="C659" s="52" t="s">
        <v>3716</v>
      </c>
      <c r="D659" s="53" t="s">
        <v>3717</v>
      </c>
      <c r="E659" s="54" t="s">
        <v>3589</v>
      </c>
      <c r="F659" s="54" t="s">
        <v>82</v>
      </c>
    </row>
    <row r="660" spans="1:6" ht="12" x14ac:dyDescent="0.2">
      <c r="A660" s="65">
        <v>15601</v>
      </c>
      <c r="B660" s="52" t="s">
        <v>1535</v>
      </c>
      <c r="C660" s="52" t="s">
        <v>3718</v>
      </c>
      <c r="D660" s="53" t="s">
        <v>3719</v>
      </c>
      <c r="E660" s="54" t="s">
        <v>1536</v>
      </c>
      <c r="F660" s="54" t="s">
        <v>640</v>
      </c>
    </row>
    <row r="661" spans="1:6" ht="12" x14ac:dyDescent="0.2">
      <c r="A661" s="65">
        <v>15615</v>
      </c>
      <c r="B661" s="52" t="s">
        <v>642</v>
      </c>
      <c r="C661" s="52" t="s">
        <v>3720</v>
      </c>
      <c r="D661" s="53" t="s">
        <v>3721</v>
      </c>
      <c r="E661" s="54" t="s">
        <v>36</v>
      </c>
      <c r="F661" s="54" t="s">
        <v>36</v>
      </c>
    </row>
    <row r="662" spans="1:6" ht="12" x14ac:dyDescent="0.2">
      <c r="A662" s="65">
        <v>15616</v>
      </c>
      <c r="B662" s="52" t="s">
        <v>1537</v>
      </c>
      <c r="C662" s="52" t="s">
        <v>3722</v>
      </c>
      <c r="D662" s="53" t="s">
        <v>3723</v>
      </c>
      <c r="E662" s="54" t="s">
        <v>1538</v>
      </c>
      <c r="F662" s="54" t="s">
        <v>116</v>
      </c>
    </row>
    <row r="663" spans="1:6" ht="12" x14ac:dyDescent="0.2">
      <c r="A663" s="65">
        <v>15619</v>
      </c>
      <c r="B663" s="52" t="s">
        <v>3724</v>
      </c>
      <c r="C663" s="52" t="s">
        <v>3725</v>
      </c>
      <c r="D663" s="53" t="s">
        <v>2647</v>
      </c>
      <c r="E663" s="54" t="s">
        <v>2648</v>
      </c>
      <c r="F663" s="54" t="s">
        <v>82</v>
      </c>
    </row>
    <row r="664" spans="1:6" ht="12" x14ac:dyDescent="0.2">
      <c r="A664" s="65">
        <v>15632</v>
      </c>
      <c r="B664" s="52" t="s">
        <v>1121</v>
      </c>
      <c r="C664" s="52" t="s">
        <v>3726</v>
      </c>
      <c r="D664" s="53" t="s">
        <v>3727</v>
      </c>
      <c r="E664" s="54" t="s">
        <v>1122</v>
      </c>
      <c r="F664" s="54" t="s">
        <v>50</v>
      </c>
    </row>
    <row r="665" spans="1:6" ht="12" x14ac:dyDescent="0.2">
      <c r="A665" s="65">
        <v>15635</v>
      </c>
      <c r="B665" s="52" t="s">
        <v>3728</v>
      </c>
      <c r="C665" s="52" t="s">
        <v>3729</v>
      </c>
      <c r="D665" s="53" t="s">
        <v>3340</v>
      </c>
      <c r="E665" s="54" t="s">
        <v>604</v>
      </c>
      <c r="F665" s="54" t="s">
        <v>211</v>
      </c>
    </row>
    <row r="666" spans="1:6" ht="12" x14ac:dyDescent="0.2">
      <c r="A666" s="65">
        <v>15650</v>
      </c>
      <c r="B666" s="52" t="s">
        <v>256</v>
      </c>
      <c r="C666" s="52" t="s">
        <v>3730</v>
      </c>
      <c r="D666" s="53" t="s">
        <v>3731</v>
      </c>
      <c r="E666" s="54" t="s">
        <v>37</v>
      </c>
      <c r="F666" s="54" t="s">
        <v>37</v>
      </c>
    </row>
    <row r="667" spans="1:6" ht="12" x14ac:dyDescent="0.2">
      <c r="A667" s="65">
        <v>15663</v>
      </c>
      <c r="B667" s="52" t="s">
        <v>1539</v>
      </c>
      <c r="C667" s="52" t="s">
        <v>3732</v>
      </c>
      <c r="D667" s="53" t="s">
        <v>3733</v>
      </c>
      <c r="E667" s="54" t="s">
        <v>1539</v>
      </c>
      <c r="F667" s="54" t="s">
        <v>177</v>
      </c>
    </row>
    <row r="668" spans="1:6" ht="12" x14ac:dyDescent="0.2">
      <c r="A668" s="65">
        <v>15675</v>
      </c>
      <c r="B668" s="52" t="s">
        <v>1540</v>
      </c>
      <c r="C668" s="52" t="s">
        <v>3734</v>
      </c>
      <c r="D668" s="53" t="s">
        <v>3735</v>
      </c>
      <c r="E668" s="54" t="s">
        <v>1541</v>
      </c>
      <c r="F668" s="54" t="s">
        <v>80</v>
      </c>
    </row>
    <row r="669" spans="1:6" ht="12" x14ac:dyDescent="0.2">
      <c r="A669" s="65">
        <v>15682</v>
      </c>
      <c r="B669" s="52" t="s">
        <v>257</v>
      </c>
      <c r="C669" s="52" t="s">
        <v>3736</v>
      </c>
      <c r="D669" s="53" t="s">
        <v>2822</v>
      </c>
      <c r="E669" s="54" t="s">
        <v>138</v>
      </c>
      <c r="F669" s="54" t="s">
        <v>2505</v>
      </c>
    </row>
    <row r="670" spans="1:6" ht="12" x14ac:dyDescent="0.2">
      <c r="A670" s="65">
        <v>15686</v>
      </c>
      <c r="B670" s="52" t="s">
        <v>3737</v>
      </c>
      <c r="C670" s="52" t="s">
        <v>3738</v>
      </c>
      <c r="D670" s="53" t="s">
        <v>3283</v>
      </c>
      <c r="E670" s="54" t="s">
        <v>253</v>
      </c>
      <c r="F670" s="54" t="s">
        <v>253</v>
      </c>
    </row>
    <row r="671" spans="1:6" ht="12" x14ac:dyDescent="0.2">
      <c r="A671" s="65">
        <v>15716</v>
      </c>
      <c r="B671" s="52" t="s">
        <v>1542</v>
      </c>
      <c r="C671" s="52" t="s">
        <v>3739</v>
      </c>
      <c r="D671" s="53" t="s">
        <v>3740</v>
      </c>
      <c r="E671" s="54" t="s">
        <v>82</v>
      </c>
      <c r="F671" s="54" t="s">
        <v>82</v>
      </c>
    </row>
    <row r="672" spans="1:6" ht="12" x14ac:dyDescent="0.2">
      <c r="A672" s="65">
        <v>15719</v>
      </c>
      <c r="B672" s="52" t="s">
        <v>1123</v>
      </c>
      <c r="C672" s="52" t="s">
        <v>3741</v>
      </c>
      <c r="D672" s="53" t="s">
        <v>3742</v>
      </c>
      <c r="E672" s="54" t="s">
        <v>1123</v>
      </c>
      <c r="F672" s="54" t="s">
        <v>179</v>
      </c>
    </row>
    <row r="673" spans="1:6" ht="12" x14ac:dyDescent="0.2">
      <c r="A673" s="65">
        <v>15719</v>
      </c>
      <c r="B673" s="52" t="s">
        <v>1123</v>
      </c>
      <c r="C673" s="52" t="s">
        <v>3741</v>
      </c>
      <c r="D673" s="53" t="s">
        <v>3742</v>
      </c>
      <c r="E673" s="54" t="s">
        <v>1123</v>
      </c>
      <c r="F673" s="54" t="s">
        <v>179</v>
      </c>
    </row>
    <row r="674" spans="1:6" ht="12" x14ac:dyDescent="0.2">
      <c r="A674" s="65">
        <v>15732</v>
      </c>
      <c r="B674" s="52" t="s">
        <v>3743</v>
      </c>
      <c r="C674" s="52" t="s">
        <v>3744</v>
      </c>
      <c r="D674" s="53" t="s">
        <v>3745</v>
      </c>
      <c r="E674" s="54" t="s">
        <v>3746</v>
      </c>
      <c r="F674" s="54" t="s">
        <v>84</v>
      </c>
    </row>
    <row r="675" spans="1:6" ht="12" x14ac:dyDescent="0.2">
      <c r="A675" s="65">
        <v>15735</v>
      </c>
      <c r="B675" s="52" t="s">
        <v>1124</v>
      </c>
      <c r="C675" s="52" t="s">
        <v>3747</v>
      </c>
      <c r="D675" s="53" t="s">
        <v>3748</v>
      </c>
      <c r="E675" s="54" t="s">
        <v>3749</v>
      </c>
      <c r="F675" s="54" t="s">
        <v>2553</v>
      </c>
    </row>
    <row r="676" spans="1:6" ht="12" x14ac:dyDescent="0.2">
      <c r="A676" s="65">
        <v>15742</v>
      </c>
      <c r="B676" s="52" t="s">
        <v>1125</v>
      </c>
      <c r="C676" s="52" t="s">
        <v>3750</v>
      </c>
      <c r="D676" s="53" t="s">
        <v>3751</v>
      </c>
      <c r="E676" s="54" t="s">
        <v>202</v>
      </c>
      <c r="F676" s="54" t="s">
        <v>135</v>
      </c>
    </row>
    <row r="677" spans="1:6" ht="12" x14ac:dyDescent="0.2">
      <c r="A677" s="65">
        <v>15756</v>
      </c>
      <c r="B677" s="52" t="s">
        <v>3752</v>
      </c>
      <c r="C677" s="52" t="s">
        <v>3753</v>
      </c>
      <c r="D677" s="53" t="s">
        <v>3754</v>
      </c>
      <c r="E677" s="54" t="s">
        <v>202</v>
      </c>
      <c r="F677" s="54" t="s">
        <v>135</v>
      </c>
    </row>
    <row r="678" spans="1:6" ht="12" x14ac:dyDescent="0.2">
      <c r="A678" s="65">
        <v>15772</v>
      </c>
      <c r="B678" s="52" t="s">
        <v>643</v>
      </c>
      <c r="C678" s="52" t="s">
        <v>3755</v>
      </c>
      <c r="D678" s="53" t="s">
        <v>3756</v>
      </c>
      <c r="E678" s="54" t="s">
        <v>644</v>
      </c>
      <c r="F678" s="54" t="s">
        <v>82</v>
      </c>
    </row>
    <row r="679" spans="1:6" ht="12" x14ac:dyDescent="0.2">
      <c r="A679" s="65">
        <v>15775</v>
      </c>
      <c r="B679" s="52" t="s">
        <v>258</v>
      </c>
      <c r="C679" s="52" t="s">
        <v>3757</v>
      </c>
      <c r="D679" s="53" t="s">
        <v>3656</v>
      </c>
      <c r="E679" s="54" t="s">
        <v>259</v>
      </c>
      <c r="F679" s="54" t="s">
        <v>108</v>
      </c>
    </row>
    <row r="680" spans="1:6" ht="12" x14ac:dyDescent="0.2">
      <c r="A680" s="65">
        <v>15781</v>
      </c>
      <c r="B680" s="54" t="s">
        <v>1543</v>
      </c>
      <c r="C680" s="54" t="s">
        <v>1544</v>
      </c>
      <c r="D680" s="53" t="s">
        <v>3758</v>
      </c>
      <c r="E680" s="54" t="s">
        <v>82</v>
      </c>
      <c r="F680" s="54" t="s">
        <v>82</v>
      </c>
    </row>
    <row r="681" spans="1:6" ht="12" x14ac:dyDescent="0.2">
      <c r="A681" s="65">
        <v>15799</v>
      </c>
      <c r="B681" s="52" t="s">
        <v>1545</v>
      </c>
      <c r="C681" s="52" t="s">
        <v>3759</v>
      </c>
      <c r="D681" s="53" t="s">
        <v>3760</v>
      </c>
      <c r="E681" s="54" t="s">
        <v>704</v>
      </c>
      <c r="F681" s="54" t="s">
        <v>158</v>
      </c>
    </row>
    <row r="682" spans="1:6" ht="12" x14ac:dyDescent="0.2">
      <c r="A682" s="65">
        <v>15802</v>
      </c>
      <c r="B682" s="52" t="s">
        <v>1126</v>
      </c>
      <c r="C682" s="52" t="s">
        <v>3761</v>
      </c>
      <c r="D682" s="53" t="s">
        <v>3516</v>
      </c>
      <c r="E682" s="54" t="s">
        <v>2553</v>
      </c>
      <c r="F682" s="54" t="s">
        <v>2553</v>
      </c>
    </row>
    <row r="683" spans="1:6" ht="12" x14ac:dyDescent="0.2">
      <c r="A683" s="65">
        <v>15810</v>
      </c>
      <c r="B683" s="52" t="s">
        <v>1546</v>
      </c>
      <c r="C683" s="52" t="s">
        <v>3762</v>
      </c>
      <c r="D683" s="53" t="s">
        <v>3763</v>
      </c>
      <c r="E683" s="54" t="s">
        <v>563</v>
      </c>
      <c r="F683" s="54" t="s">
        <v>108</v>
      </c>
    </row>
    <row r="684" spans="1:6" ht="12" x14ac:dyDescent="0.2">
      <c r="A684" s="65">
        <v>15821</v>
      </c>
      <c r="B684" s="52" t="s">
        <v>1127</v>
      </c>
      <c r="C684" s="52" t="s">
        <v>3764</v>
      </c>
      <c r="D684" s="53" t="s">
        <v>3765</v>
      </c>
      <c r="E684" s="54" t="s">
        <v>1127</v>
      </c>
      <c r="F684" s="54" t="s">
        <v>2505</v>
      </c>
    </row>
    <row r="685" spans="1:6" ht="12" x14ac:dyDescent="0.2">
      <c r="A685" s="65">
        <v>15839</v>
      </c>
      <c r="B685" s="52" t="s">
        <v>1128</v>
      </c>
      <c r="C685" s="52" t="s">
        <v>3766</v>
      </c>
      <c r="D685" s="53" t="s">
        <v>3767</v>
      </c>
      <c r="E685" s="54" t="s">
        <v>202</v>
      </c>
      <c r="F685" s="54" t="s">
        <v>135</v>
      </c>
    </row>
    <row r="686" spans="1:6" ht="12" x14ac:dyDescent="0.2">
      <c r="A686" s="65">
        <v>15855</v>
      </c>
      <c r="B686" s="52" t="s">
        <v>1547</v>
      </c>
      <c r="C686" s="52" t="s">
        <v>3768</v>
      </c>
      <c r="D686" s="53" t="s">
        <v>3769</v>
      </c>
      <c r="E686" s="54" t="s">
        <v>1548</v>
      </c>
      <c r="F686" s="54" t="s">
        <v>176</v>
      </c>
    </row>
    <row r="687" spans="1:6" ht="12" x14ac:dyDescent="0.2">
      <c r="A687" s="65">
        <v>15857</v>
      </c>
      <c r="B687" s="52" t="s">
        <v>1549</v>
      </c>
      <c r="C687" s="52" t="s">
        <v>3770</v>
      </c>
      <c r="D687" s="53" t="s">
        <v>3771</v>
      </c>
      <c r="E687" s="54" t="s">
        <v>1549</v>
      </c>
      <c r="F687" s="54" t="s">
        <v>171</v>
      </c>
    </row>
    <row r="688" spans="1:6" ht="12" x14ac:dyDescent="0.2">
      <c r="A688" s="65">
        <v>15857</v>
      </c>
      <c r="B688" s="52" t="s">
        <v>1549</v>
      </c>
      <c r="C688" s="52" t="s">
        <v>3770</v>
      </c>
      <c r="D688" s="53" t="s">
        <v>3771</v>
      </c>
      <c r="E688" s="54" t="s">
        <v>1549</v>
      </c>
      <c r="F688" s="54" t="s">
        <v>171</v>
      </c>
    </row>
    <row r="689" spans="1:6" ht="12" x14ac:dyDescent="0.2">
      <c r="A689" s="65">
        <v>15894</v>
      </c>
      <c r="B689" s="52" t="s">
        <v>1550</v>
      </c>
      <c r="C689" s="52" t="s">
        <v>3772</v>
      </c>
      <c r="D689" s="53" t="s">
        <v>2713</v>
      </c>
      <c r="E689" s="54" t="s">
        <v>655</v>
      </c>
      <c r="F689" s="54" t="s">
        <v>135</v>
      </c>
    </row>
    <row r="690" spans="1:6" ht="12" x14ac:dyDescent="0.2">
      <c r="A690" s="65">
        <v>15909</v>
      </c>
      <c r="B690" s="52" t="s">
        <v>1551</v>
      </c>
      <c r="C690" s="52" t="s">
        <v>3773</v>
      </c>
      <c r="D690" s="53" t="s">
        <v>3774</v>
      </c>
      <c r="E690" s="54" t="s">
        <v>1552</v>
      </c>
      <c r="F690" s="54" t="s">
        <v>171</v>
      </c>
    </row>
    <row r="691" spans="1:6" ht="12" x14ac:dyDescent="0.2">
      <c r="A691" s="65">
        <v>15919</v>
      </c>
      <c r="B691" s="52" t="s">
        <v>3775</v>
      </c>
      <c r="C691" s="52" t="s">
        <v>3776</v>
      </c>
      <c r="D691" s="53" t="s">
        <v>3777</v>
      </c>
      <c r="E691" s="54" t="s">
        <v>2143</v>
      </c>
      <c r="F691" s="54" t="s">
        <v>112</v>
      </c>
    </row>
    <row r="692" spans="1:6" ht="12" x14ac:dyDescent="0.2">
      <c r="A692" s="65">
        <v>15947</v>
      </c>
      <c r="B692" s="52" t="s">
        <v>1129</v>
      </c>
      <c r="C692" s="52" t="s">
        <v>3778</v>
      </c>
      <c r="D692" s="53" t="s">
        <v>3779</v>
      </c>
      <c r="E692" s="54" t="s">
        <v>1130</v>
      </c>
      <c r="F692" s="54" t="s">
        <v>84</v>
      </c>
    </row>
    <row r="693" spans="1:6" ht="12" x14ac:dyDescent="0.2">
      <c r="A693" s="65">
        <v>15952</v>
      </c>
      <c r="B693" s="52" t="s">
        <v>1553</v>
      </c>
      <c r="C693" s="52" t="s">
        <v>3780</v>
      </c>
      <c r="D693" s="53" t="s">
        <v>2570</v>
      </c>
      <c r="E693" s="54" t="s">
        <v>1254</v>
      </c>
      <c r="F693" s="54" t="s">
        <v>145</v>
      </c>
    </row>
    <row r="694" spans="1:6" ht="12" x14ac:dyDescent="0.2">
      <c r="A694" s="65">
        <v>15955</v>
      </c>
      <c r="B694" s="52" t="s">
        <v>1554</v>
      </c>
      <c r="C694" s="52" t="s">
        <v>3781</v>
      </c>
      <c r="D694" s="53" t="s">
        <v>3782</v>
      </c>
      <c r="E694" s="54" t="s">
        <v>1555</v>
      </c>
      <c r="F694" s="54" t="s">
        <v>80</v>
      </c>
    </row>
    <row r="695" spans="1:6" ht="12" x14ac:dyDescent="0.2">
      <c r="A695" s="65">
        <v>15961</v>
      </c>
      <c r="B695" s="52" t="s">
        <v>645</v>
      </c>
      <c r="C695" s="52" t="s">
        <v>3783</v>
      </c>
      <c r="D695" s="53" t="s">
        <v>3784</v>
      </c>
      <c r="E695" s="54" t="s">
        <v>84</v>
      </c>
      <c r="F695" s="54" t="s">
        <v>84</v>
      </c>
    </row>
    <row r="696" spans="1:6" ht="12" x14ac:dyDescent="0.2">
      <c r="A696" s="65">
        <v>15964</v>
      </c>
      <c r="B696" s="52" t="s">
        <v>1556</v>
      </c>
      <c r="C696" s="52" t="s">
        <v>3785</v>
      </c>
      <c r="D696" s="53" t="s">
        <v>3786</v>
      </c>
      <c r="E696" s="54" t="s">
        <v>108</v>
      </c>
      <c r="F696" s="54" t="s">
        <v>108</v>
      </c>
    </row>
    <row r="697" spans="1:6" ht="12" x14ac:dyDescent="0.2">
      <c r="A697" s="65">
        <v>15997</v>
      </c>
      <c r="B697" s="52" t="s">
        <v>1131</v>
      </c>
      <c r="C697" s="52" t="s">
        <v>3787</v>
      </c>
      <c r="D697" s="53" t="s">
        <v>3788</v>
      </c>
      <c r="E697" s="54" t="s">
        <v>3789</v>
      </c>
      <c r="F697" s="54" t="s">
        <v>108</v>
      </c>
    </row>
    <row r="698" spans="1:6" ht="12" x14ac:dyDescent="0.2">
      <c r="A698" s="65">
        <v>16005</v>
      </c>
      <c r="B698" s="52" t="s">
        <v>2071</v>
      </c>
      <c r="C698" s="52" t="s">
        <v>2072</v>
      </c>
      <c r="D698" s="53" t="s">
        <v>3790</v>
      </c>
      <c r="E698" s="54" t="s">
        <v>2071</v>
      </c>
      <c r="F698" s="54" t="s">
        <v>84</v>
      </c>
    </row>
    <row r="699" spans="1:6" ht="12" x14ac:dyDescent="0.2">
      <c r="A699" s="65">
        <v>16006</v>
      </c>
      <c r="B699" s="52" t="s">
        <v>646</v>
      </c>
      <c r="C699" s="52" t="s">
        <v>3791</v>
      </c>
      <c r="D699" s="53" t="s">
        <v>3754</v>
      </c>
      <c r="E699" s="54" t="s">
        <v>646</v>
      </c>
      <c r="F699" s="54" t="s">
        <v>135</v>
      </c>
    </row>
    <row r="700" spans="1:6" ht="12" x14ac:dyDescent="0.2">
      <c r="A700" s="65">
        <v>16007</v>
      </c>
      <c r="B700" s="52" t="s">
        <v>647</v>
      </c>
      <c r="C700" s="52" t="s">
        <v>3792</v>
      </c>
      <c r="D700" s="53" t="s">
        <v>3793</v>
      </c>
      <c r="E700" s="54" t="s">
        <v>648</v>
      </c>
      <c r="F700" s="54" t="s">
        <v>135</v>
      </c>
    </row>
    <row r="701" spans="1:6" ht="12" x14ac:dyDescent="0.2">
      <c r="A701" s="65">
        <v>16009</v>
      </c>
      <c r="B701" s="52" t="s">
        <v>197</v>
      </c>
      <c r="C701" s="52" t="s">
        <v>3794</v>
      </c>
      <c r="D701" s="53" t="s">
        <v>3344</v>
      </c>
      <c r="E701" s="54" t="s">
        <v>197</v>
      </c>
      <c r="F701" s="54" t="s">
        <v>82</v>
      </c>
    </row>
    <row r="702" spans="1:6" ht="12" x14ac:dyDescent="0.2">
      <c r="A702" s="65">
        <v>16010</v>
      </c>
      <c r="B702" s="52" t="s">
        <v>651</v>
      </c>
      <c r="C702" s="52" t="s">
        <v>3795</v>
      </c>
      <c r="D702" s="53" t="s">
        <v>3796</v>
      </c>
      <c r="E702" s="54" t="s">
        <v>63</v>
      </c>
      <c r="F702" s="54" t="s">
        <v>63</v>
      </c>
    </row>
    <row r="703" spans="1:6" ht="12" x14ac:dyDescent="0.2">
      <c r="A703" s="65">
        <v>16028</v>
      </c>
      <c r="B703" s="52" t="s">
        <v>3797</v>
      </c>
      <c r="C703" s="52" t="s">
        <v>3798</v>
      </c>
      <c r="D703" s="53" t="s">
        <v>3799</v>
      </c>
      <c r="E703" s="54" t="s">
        <v>3800</v>
      </c>
      <c r="F703" s="54" t="s">
        <v>2553</v>
      </c>
    </row>
    <row r="704" spans="1:6" ht="12" x14ac:dyDescent="0.2">
      <c r="A704" s="65">
        <v>16028</v>
      </c>
      <c r="B704" s="52" t="s">
        <v>3797</v>
      </c>
      <c r="C704" s="52" t="s">
        <v>3798</v>
      </c>
      <c r="D704" s="53" t="s">
        <v>3799</v>
      </c>
      <c r="E704" s="54" t="s">
        <v>3800</v>
      </c>
      <c r="F704" s="54" t="s">
        <v>2553</v>
      </c>
    </row>
    <row r="705" spans="1:6" ht="12" x14ac:dyDescent="0.2">
      <c r="A705" s="65">
        <v>16029</v>
      </c>
      <c r="B705" s="52" t="s">
        <v>652</v>
      </c>
      <c r="C705" s="52" t="s">
        <v>653</v>
      </c>
      <c r="D705" s="53" t="s">
        <v>3801</v>
      </c>
      <c r="E705" s="54" t="s">
        <v>654</v>
      </c>
      <c r="F705" s="54" t="s">
        <v>38</v>
      </c>
    </row>
    <row r="706" spans="1:6" ht="12" x14ac:dyDescent="0.2">
      <c r="A706" s="65">
        <v>16043</v>
      </c>
      <c r="B706" s="52" t="s">
        <v>260</v>
      </c>
      <c r="C706" s="52" t="s">
        <v>3802</v>
      </c>
      <c r="D706" s="53" t="s">
        <v>3803</v>
      </c>
      <c r="E706" s="54" t="s">
        <v>261</v>
      </c>
      <c r="F706" s="54" t="s">
        <v>101</v>
      </c>
    </row>
    <row r="707" spans="1:6" ht="12" x14ac:dyDescent="0.2">
      <c r="A707" s="65">
        <v>16054</v>
      </c>
      <c r="B707" s="52" t="s">
        <v>3804</v>
      </c>
      <c r="C707" s="52" t="s">
        <v>3805</v>
      </c>
      <c r="D707" s="53" t="s">
        <v>3806</v>
      </c>
      <c r="E707" s="54" t="s">
        <v>262</v>
      </c>
      <c r="F707" s="54" t="s">
        <v>97</v>
      </c>
    </row>
    <row r="708" spans="1:6" ht="12" x14ac:dyDescent="0.2">
      <c r="A708" s="65">
        <v>16055</v>
      </c>
      <c r="B708" s="52" t="s">
        <v>3807</v>
      </c>
      <c r="C708" s="52" t="s">
        <v>3808</v>
      </c>
      <c r="D708" s="53" t="s">
        <v>3806</v>
      </c>
      <c r="E708" s="54" t="s">
        <v>262</v>
      </c>
      <c r="F708" s="54" t="s">
        <v>97</v>
      </c>
    </row>
    <row r="709" spans="1:6" ht="12" x14ac:dyDescent="0.2">
      <c r="A709" s="65">
        <v>16088</v>
      </c>
      <c r="B709" s="52" t="s">
        <v>2128</v>
      </c>
      <c r="C709" s="52" t="s">
        <v>3809</v>
      </c>
      <c r="D709" s="53" t="s">
        <v>3810</v>
      </c>
      <c r="E709" s="54" t="s">
        <v>2128</v>
      </c>
      <c r="F709" s="54" t="s">
        <v>51</v>
      </c>
    </row>
    <row r="710" spans="1:6" ht="12" x14ac:dyDescent="0.2">
      <c r="A710" s="65">
        <v>16106</v>
      </c>
      <c r="B710" s="52" t="s">
        <v>263</v>
      </c>
      <c r="C710" s="52" t="s">
        <v>3811</v>
      </c>
      <c r="D710" s="53" t="s">
        <v>3812</v>
      </c>
      <c r="E710" s="54" t="s">
        <v>3813</v>
      </c>
      <c r="F710" s="54" t="s">
        <v>135</v>
      </c>
    </row>
    <row r="711" spans="1:6" ht="12" x14ac:dyDescent="0.2">
      <c r="A711" s="65">
        <v>16108</v>
      </c>
      <c r="B711" s="52" t="s">
        <v>3814</v>
      </c>
      <c r="C711" s="52" t="s">
        <v>3815</v>
      </c>
      <c r="D711" s="53" t="s">
        <v>3816</v>
      </c>
      <c r="E711" s="54" t="s">
        <v>3814</v>
      </c>
      <c r="F711" s="54" t="s">
        <v>158</v>
      </c>
    </row>
    <row r="712" spans="1:6" ht="12" x14ac:dyDescent="0.2">
      <c r="A712" s="65">
        <v>16126</v>
      </c>
      <c r="B712" s="52" t="s">
        <v>862</v>
      </c>
      <c r="C712" s="52" t="s">
        <v>3817</v>
      </c>
      <c r="D712" s="53" t="s">
        <v>3818</v>
      </c>
      <c r="E712" s="54" t="s">
        <v>1922</v>
      </c>
      <c r="F712" s="54" t="s">
        <v>179</v>
      </c>
    </row>
    <row r="713" spans="1:6" ht="12" x14ac:dyDescent="0.2">
      <c r="A713" s="65">
        <v>16160</v>
      </c>
      <c r="B713" s="52" t="s">
        <v>1945</v>
      </c>
      <c r="C713" s="52" t="s">
        <v>3819</v>
      </c>
      <c r="D713" s="53" t="s">
        <v>2502</v>
      </c>
      <c r="E713" s="54" t="s">
        <v>157</v>
      </c>
      <c r="F713" s="54" t="s">
        <v>158</v>
      </c>
    </row>
    <row r="714" spans="1:6" ht="12" x14ac:dyDescent="0.2">
      <c r="A714" s="65">
        <v>16181</v>
      </c>
      <c r="B714" s="52" t="s">
        <v>3820</v>
      </c>
      <c r="C714" s="52" t="s">
        <v>3821</v>
      </c>
      <c r="D714" s="53" t="s">
        <v>3763</v>
      </c>
      <c r="E714" s="54" t="s">
        <v>563</v>
      </c>
      <c r="F714" s="54" t="s">
        <v>108</v>
      </c>
    </row>
    <row r="715" spans="1:6" ht="12" x14ac:dyDescent="0.2">
      <c r="A715" s="65">
        <v>16185</v>
      </c>
      <c r="B715" s="52" t="s">
        <v>3822</v>
      </c>
      <c r="C715" s="52" t="s">
        <v>3823</v>
      </c>
      <c r="D715" s="53" t="s">
        <v>3824</v>
      </c>
      <c r="E715" s="54" t="s">
        <v>3825</v>
      </c>
      <c r="F715" s="54" t="s">
        <v>135</v>
      </c>
    </row>
    <row r="716" spans="1:6" ht="12" x14ac:dyDescent="0.2">
      <c r="A716" s="65">
        <v>16198</v>
      </c>
      <c r="B716" s="52" t="s">
        <v>656</v>
      </c>
      <c r="C716" s="52" t="s">
        <v>657</v>
      </c>
      <c r="D716" s="53" t="s">
        <v>3545</v>
      </c>
      <c r="E716" s="54" t="s">
        <v>658</v>
      </c>
      <c r="F716" s="54" t="s">
        <v>84</v>
      </c>
    </row>
    <row r="717" spans="1:6" ht="12" x14ac:dyDescent="0.2">
      <c r="A717" s="65">
        <v>16199</v>
      </c>
      <c r="B717" s="52" t="s">
        <v>659</v>
      </c>
      <c r="C717" s="52" t="s">
        <v>660</v>
      </c>
      <c r="D717" s="53" t="s">
        <v>3545</v>
      </c>
      <c r="E717" s="54" t="s">
        <v>658</v>
      </c>
      <c r="F717" s="54" t="s">
        <v>84</v>
      </c>
    </row>
    <row r="718" spans="1:6" ht="12" x14ac:dyDescent="0.2">
      <c r="A718" s="65">
        <v>16215</v>
      </c>
      <c r="B718" s="52" t="s">
        <v>661</v>
      </c>
      <c r="C718" s="52" t="s">
        <v>3826</v>
      </c>
      <c r="D718" s="53" t="s">
        <v>2560</v>
      </c>
      <c r="E718" s="54" t="s">
        <v>89</v>
      </c>
      <c r="F718" s="54" t="s">
        <v>89</v>
      </c>
    </row>
    <row r="719" spans="1:6" ht="12" x14ac:dyDescent="0.2">
      <c r="A719" s="65">
        <v>16216</v>
      </c>
      <c r="B719" s="52" t="s">
        <v>3827</v>
      </c>
      <c r="C719" s="52" t="s">
        <v>3828</v>
      </c>
      <c r="D719" s="53" t="s">
        <v>3829</v>
      </c>
      <c r="E719" s="54" t="s">
        <v>152</v>
      </c>
      <c r="F719" s="54" t="s">
        <v>152</v>
      </c>
    </row>
    <row r="720" spans="1:6" ht="12" x14ac:dyDescent="0.2">
      <c r="A720" s="65">
        <v>16221</v>
      </c>
      <c r="B720" s="52" t="s">
        <v>3830</v>
      </c>
      <c r="C720" s="52" t="s">
        <v>3831</v>
      </c>
      <c r="D720" s="53" t="s">
        <v>2695</v>
      </c>
      <c r="E720" s="54" t="s">
        <v>125</v>
      </c>
      <c r="F720" s="54" t="s">
        <v>118</v>
      </c>
    </row>
    <row r="721" spans="1:6" ht="12" x14ac:dyDescent="0.2">
      <c r="A721" s="65">
        <v>16222</v>
      </c>
      <c r="B721" s="52" t="s">
        <v>662</v>
      </c>
      <c r="C721" s="52" t="s">
        <v>3832</v>
      </c>
      <c r="D721" s="53" t="s">
        <v>3833</v>
      </c>
      <c r="E721" s="54" t="s">
        <v>663</v>
      </c>
      <c r="F721" s="54" t="s">
        <v>154</v>
      </c>
    </row>
    <row r="722" spans="1:6" ht="12" x14ac:dyDescent="0.2">
      <c r="A722" s="65">
        <v>16223</v>
      </c>
      <c r="B722" s="52" t="s">
        <v>264</v>
      </c>
      <c r="C722" s="52" t="s">
        <v>3834</v>
      </c>
      <c r="D722" s="53" t="s">
        <v>3835</v>
      </c>
      <c r="E722" s="54" t="s">
        <v>3836</v>
      </c>
      <c r="F722" s="54" t="s">
        <v>112</v>
      </c>
    </row>
    <row r="723" spans="1:6" ht="12" x14ac:dyDescent="0.2">
      <c r="A723" s="65">
        <v>16224</v>
      </c>
      <c r="B723" s="52" t="s">
        <v>265</v>
      </c>
      <c r="C723" s="52" t="s">
        <v>3837</v>
      </c>
      <c r="D723" s="53" t="s">
        <v>3838</v>
      </c>
      <c r="E723" s="54" t="s">
        <v>116</v>
      </c>
      <c r="F723" s="54" t="s">
        <v>116</v>
      </c>
    </row>
    <row r="724" spans="1:6" ht="12" x14ac:dyDescent="0.2">
      <c r="A724" s="65">
        <v>16225</v>
      </c>
      <c r="B724" s="52" t="s">
        <v>1883</v>
      </c>
      <c r="C724" s="52" t="s">
        <v>3839</v>
      </c>
      <c r="D724" s="53" t="s">
        <v>3840</v>
      </c>
      <c r="E724" s="54" t="s">
        <v>84</v>
      </c>
      <c r="F724" s="54" t="s">
        <v>84</v>
      </c>
    </row>
    <row r="725" spans="1:6" ht="12" x14ac:dyDescent="0.2">
      <c r="A725" s="65">
        <v>16226</v>
      </c>
      <c r="B725" s="52" t="s">
        <v>1884</v>
      </c>
      <c r="C725" s="52" t="s">
        <v>3841</v>
      </c>
      <c r="D725" s="53" t="s">
        <v>3840</v>
      </c>
      <c r="E725" s="54" t="s">
        <v>84</v>
      </c>
      <c r="F725" s="54" t="s">
        <v>84</v>
      </c>
    </row>
    <row r="726" spans="1:6" ht="12" x14ac:dyDescent="0.2">
      <c r="A726" s="65">
        <v>16227</v>
      </c>
      <c r="B726" s="52" t="s">
        <v>664</v>
      </c>
      <c r="C726" s="52" t="s">
        <v>3842</v>
      </c>
      <c r="D726" s="53" t="s">
        <v>3843</v>
      </c>
      <c r="E726" s="54" t="s">
        <v>665</v>
      </c>
      <c r="F726" s="54" t="s">
        <v>176</v>
      </c>
    </row>
    <row r="727" spans="1:6" ht="12" x14ac:dyDescent="0.2">
      <c r="A727" s="65">
        <v>16228</v>
      </c>
      <c r="B727" s="52" t="s">
        <v>666</v>
      </c>
      <c r="C727" s="52" t="s">
        <v>3844</v>
      </c>
      <c r="D727" s="53" t="s">
        <v>3843</v>
      </c>
      <c r="E727" s="54" t="s">
        <v>665</v>
      </c>
      <c r="F727" s="54" t="s">
        <v>176</v>
      </c>
    </row>
    <row r="728" spans="1:6" ht="12" x14ac:dyDescent="0.2">
      <c r="A728" s="65">
        <v>16229</v>
      </c>
      <c r="B728" s="52" t="s">
        <v>667</v>
      </c>
      <c r="C728" s="52" t="s">
        <v>3845</v>
      </c>
      <c r="D728" s="53" t="s">
        <v>3531</v>
      </c>
      <c r="E728" s="54" t="s">
        <v>112</v>
      </c>
      <c r="F728" s="54" t="s">
        <v>112</v>
      </c>
    </row>
    <row r="729" spans="1:6" ht="12" x14ac:dyDescent="0.2">
      <c r="A729" s="65">
        <v>16230</v>
      </c>
      <c r="B729" s="52" t="s">
        <v>3846</v>
      </c>
      <c r="C729" s="52" t="s">
        <v>3847</v>
      </c>
      <c r="D729" s="53" t="s">
        <v>3380</v>
      </c>
      <c r="E729" s="54" t="s">
        <v>1088</v>
      </c>
      <c r="F729" s="54" t="s">
        <v>887</v>
      </c>
    </row>
    <row r="730" spans="1:6" ht="12" x14ac:dyDescent="0.2">
      <c r="A730" s="65">
        <v>16236</v>
      </c>
      <c r="B730" s="52" t="s">
        <v>668</v>
      </c>
      <c r="C730" s="52" t="s">
        <v>3848</v>
      </c>
      <c r="D730" s="53" t="s">
        <v>3062</v>
      </c>
      <c r="E730" s="54" t="s">
        <v>165</v>
      </c>
      <c r="F730" s="54" t="s">
        <v>108</v>
      </c>
    </row>
    <row r="731" spans="1:6" ht="12" x14ac:dyDescent="0.2">
      <c r="A731" s="65">
        <v>16257</v>
      </c>
      <c r="B731" s="52" t="s">
        <v>1557</v>
      </c>
      <c r="C731" s="52" t="s">
        <v>3849</v>
      </c>
      <c r="D731" s="53" t="s">
        <v>3850</v>
      </c>
      <c r="E731" s="54" t="s">
        <v>1558</v>
      </c>
      <c r="F731" s="54" t="s">
        <v>51</v>
      </c>
    </row>
    <row r="732" spans="1:6" ht="12" x14ac:dyDescent="0.2">
      <c r="A732" s="65">
        <v>16272</v>
      </c>
      <c r="B732" s="52" t="s">
        <v>669</v>
      </c>
      <c r="C732" s="52" t="s">
        <v>3851</v>
      </c>
      <c r="D732" s="53" t="s">
        <v>3852</v>
      </c>
      <c r="E732" s="54" t="s">
        <v>670</v>
      </c>
      <c r="F732" s="54" t="s">
        <v>116</v>
      </c>
    </row>
    <row r="733" spans="1:6" ht="12" x14ac:dyDescent="0.2">
      <c r="A733" s="65">
        <v>16273</v>
      </c>
      <c r="B733" s="52" t="s">
        <v>3853</v>
      </c>
      <c r="C733" s="52" t="s">
        <v>3854</v>
      </c>
      <c r="D733" s="53" t="s">
        <v>2749</v>
      </c>
      <c r="E733" s="54" t="s">
        <v>84</v>
      </c>
      <c r="F733" s="54" t="s">
        <v>84</v>
      </c>
    </row>
    <row r="734" spans="1:6" ht="12" x14ac:dyDescent="0.2">
      <c r="A734" s="65">
        <v>16299</v>
      </c>
      <c r="B734" s="52" t="s">
        <v>3855</v>
      </c>
      <c r="C734" s="52" t="s">
        <v>3823</v>
      </c>
      <c r="D734" s="53" t="s">
        <v>3856</v>
      </c>
      <c r="E734" s="54" t="s">
        <v>266</v>
      </c>
      <c r="F734" s="54" t="s">
        <v>135</v>
      </c>
    </row>
    <row r="735" spans="1:6" ht="12" x14ac:dyDescent="0.2">
      <c r="A735" s="65">
        <v>16321</v>
      </c>
      <c r="B735" s="52" t="s">
        <v>267</v>
      </c>
      <c r="C735" s="52" t="s">
        <v>3857</v>
      </c>
      <c r="D735" s="53" t="s">
        <v>3858</v>
      </c>
      <c r="E735" s="54" t="s">
        <v>268</v>
      </c>
      <c r="F735" s="54" t="s">
        <v>84</v>
      </c>
    </row>
    <row r="736" spans="1:6" ht="12" x14ac:dyDescent="0.2">
      <c r="A736" s="65">
        <v>16336</v>
      </c>
      <c r="B736" s="52" t="s">
        <v>2009</v>
      </c>
      <c r="C736" s="52" t="s">
        <v>3859</v>
      </c>
      <c r="D736" s="53" t="s">
        <v>3860</v>
      </c>
      <c r="E736" s="54" t="s">
        <v>2009</v>
      </c>
      <c r="F736" s="54" t="s">
        <v>253</v>
      </c>
    </row>
    <row r="737" spans="1:6" ht="12" x14ac:dyDescent="0.2">
      <c r="A737" s="65">
        <v>16342</v>
      </c>
      <c r="B737" s="52" t="s">
        <v>3861</v>
      </c>
      <c r="C737" s="52" t="s">
        <v>3862</v>
      </c>
      <c r="D737" s="53" t="s">
        <v>2693</v>
      </c>
      <c r="E737" s="54" t="s">
        <v>1019</v>
      </c>
      <c r="F737" s="54" t="s">
        <v>253</v>
      </c>
    </row>
    <row r="738" spans="1:6" ht="12" x14ac:dyDescent="0.2">
      <c r="A738" s="65">
        <v>16344</v>
      </c>
      <c r="B738" s="52" t="s">
        <v>671</v>
      </c>
      <c r="C738" s="52" t="s">
        <v>3863</v>
      </c>
      <c r="D738" s="53" t="s">
        <v>3864</v>
      </c>
      <c r="E738" s="54" t="s">
        <v>671</v>
      </c>
      <c r="F738" s="54" t="s">
        <v>99</v>
      </c>
    </row>
    <row r="739" spans="1:6" ht="12" x14ac:dyDescent="0.2">
      <c r="A739" s="65">
        <v>16346</v>
      </c>
      <c r="B739" s="52" t="s">
        <v>269</v>
      </c>
      <c r="C739" s="52" t="s">
        <v>3865</v>
      </c>
      <c r="D739" s="53" t="s">
        <v>3866</v>
      </c>
      <c r="E739" s="54" t="s">
        <v>270</v>
      </c>
      <c r="F739" s="54" t="s">
        <v>174</v>
      </c>
    </row>
    <row r="740" spans="1:6" ht="12" x14ac:dyDescent="0.2">
      <c r="A740" s="65">
        <v>16365</v>
      </c>
      <c r="B740" s="54" t="s">
        <v>1559</v>
      </c>
      <c r="C740" s="54" t="s">
        <v>3867</v>
      </c>
      <c r="D740" s="53" t="s">
        <v>3868</v>
      </c>
      <c r="E740" s="54" t="s">
        <v>815</v>
      </c>
      <c r="F740" s="54" t="s">
        <v>152</v>
      </c>
    </row>
    <row r="741" spans="1:6" ht="12" x14ac:dyDescent="0.2">
      <c r="A741" s="65">
        <v>16393</v>
      </c>
      <c r="B741" s="54" t="s">
        <v>1560</v>
      </c>
      <c r="C741" s="54" t="s">
        <v>3869</v>
      </c>
      <c r="D741" s="53" t="s">
        <v>3870</v>
      </c>
      <c r="E741" s="54" t="s">
        <v>1560</v>
      </c>
      <c r="F741" s="54" t="s">
        <v>84</v>
      </c>
    </row>
    <row r="742" spans="1:6" ht="12" x14ac:dyDescent="0.2">
      <c r="A742" s="65">
        <v>16396</v>
      </c>
      <c r="B742" s="54" t="s">
        <v>271</v>
      </c>
      <c r="C742" s="54" t="s">
        <v>3871</v>
      </c>
      <c r="D742" s="53" t="s">
        <v>3872</v>
      </c>
      <c r="E742" s="54" t="s">
        <v>271</v>
      </c>
      <c r="F742" s="54" t="s">
        <v>2553</v>
      </c>
    </row>
    <row r="743" spans="1:6" ht="12" x14ac:dyDescent="0.2">
      <c r="A743" s="65">
        <v>16411</v>
      </c>
      <c r="B743" s="54" t="s">
        <v>1561</v>
      </c>
      <c r="C743" s="54" t="s">
        <v>3873</v>
      </c>
      <c r="D743" s="53" t="s">
        <v>3874</v>
      </c>
      <c r="E743" s="54" t="s">
        <v>1495</v>
      </c>
      <c r="F743" s="54" t="s">
        <v>152</v>
      </c>
    </row>
    <row r="744" spans="1:6" ht="12" x14ac:dyDescent="0.2">
      <c r="A744" s="65">
        <v>16421</v>
      </c>
      <c r="B744" s="54" t="s">
        <v>1562</v>
      </c>
      <c r="C744" s="54" t="s">
        <v>3875</v>
      </c>
      <c r="D744" s="53" t="s">
        <v>3876</v>
      </c>
      <c r="E744" s="54" t="s">
        <v>1563</v>
      </c>
      <c r="F744" s="54" t="s">
        <v>342</v>
      </c>
    </row>
    <row r="745" spans="1:6" ht="12" x14ac:dyDescent="0.2">
      <c r="A745" s="65">
        <v>16436</v>
      </c>
      <c r="B745" s="54" t="s">
        <v>1454</v>
      </c>
      <c r="C745" s="54" t="s">
        <v>3877</v>
      </c>
      <c r="D745" s="53" t="s">
        <v>3414</v>
      </c>
      <c r="E745" s="54" t="s">
        <v>1454</v>
      </c>
      <c r="F745" s="54" t="s">
        <v>154</v>
      </c>
    </row>
    <row r="746" spans="1:6" ht="12" x14ac:dyDescent="0.2">
      <c r="A746" s="65">
        <v>16442</v>
      </c>
      <c r="B746" s="54" t="s">
        <v>272</v>
      </c>
      <c r="C746" s="54" t="s">
        <v>3878</v>
      </c>
      <c r="D746" s="53" t="s">
        <v>3879</v>
      </c>
      <c r="E746" s="54" t="s">
        <v>273</v>
      </c>
      <c r="F746" s="54" t="s">
        <v>158</v>
      </c>
    </row>
    <row r="747" spans="1:6" ht="12" x14ac:dyDescent="0.2">
      <c r="A747" s="65">
        <v>16443</v>
      </c>
      <c r="B747" s="54" t="s">
        <v>673</v>
      </c>
      <c r="C747" s="52" t="s">
        <v>3880</v>
      </c>
      <c r="D747" s="53" t="s">
        <v>3881</v>
      </c>
      <c r="E747" s="54" t="s">
        <v>674</v>
      </c>
      <c r="F747" s="54" t="s">
        <v>51</v>
      </c>
    </row>
    <row r="748" spans="1:6" ht="12" x14ac:dyDescent="0.2">
      <c r="A748" s="65">
        <v>16444</v>
      </c>
      <c r="B748" s="55" t="s">
        <v>675</v>
      </c>
      <c r="C748" s="55" t="s">
        <v>3883</v>
      </c>
      <c r="D748" s="53" t="s">
        <v>3884</v>
      </c>
      <c r="E748" s="55" t="s">
        <v>675</v>
      </c>
      <c r="F748" s="55" t="s">
        <v>342</v>
      </c>
    </row>
    <row r="749" spans="1:6" ht="12" x14ac:dyDescent="0.2">
      <c r="A749" s="65">
        <v>16445</v>
      </c>
      <c r="B749" s="55" t="s">
        <v>274</v>
      </c>
      <c r="C749" s="52" t="s">
        <v>3885</v>
      </c>
      <c r="D749" s="53" t="s">
        <v>3886</v>
      </c>
      <c r="E749" s="54" t="s">
        <v>3887</v>
      </c>
      <c r="F749" s="54" t="s">
        <v>82</v>
      </c>
    </row>
    <row r="750" spans="1:6" ht="12" x14ac:dyDescent="0.2">
      <c r="A750" s="65">
        <v>16446</v>
      </c>
      <c r="B750" s="55" t="s">
        <v>676</v>
      </c>
      <c r="C750" s="52" t="s">
        <v>677</v>
      </c>
      <c r="D750" s="53" t="s">
        <v>3545</v>
      </c>
      <c r="E750" s="54" t="s">
        <v>658</v>
      </c>
      <c r="F750" s="54" t="s">
        <v>84</v>
      </c>
    </row>
    <row r="751" spans="1:6" ht="12" x14ac:dyDescent="0.2">
      <c r="A751" s="65">
        <v>16447</v>
      </c>
      <c r="B751" s="52" t="s">
        <v>45</v>
      </c>
      <c r="C751" s="52" t="s">
        <v>3888</v>
      </c>
      <c r="D751" s="53" t="s">
        <v>3889</v>
      </c>
      <c r="E751" s="54" t="s">
        <v>45</v>
      </c>
      <c r="F751" s="54" t="s">
        <v>42</v>
      </c>
    </row>
    <row r="752" spans="1:6" ht="12" x14ac:dyDescent="0.2">
      <c r="A752" s="65">
        <v>16454</v>
      </c>
      <c r="B752" s="52" t="s">
        <v>1132</v>
      </c>
      <c r="C752" s="52" t="s">
        <v>3890</v>
      </c>
      <c r="D752" s="53" t="s">
        <v>3891</v>
      </c>
      <c r="E752" s="54" t="s">
        <v>1022</v>
      </c>
      <c r="F752" s="54" t="s">
        <v>174</v>
      </c>
    </row>
    <row r="753" spans="1:6" ht="12" x14ac:dyDescent="0.2">
      <c r="A753" s="65">
        <v>16470</v>
      </c>
      <c r="B753" s="54" t="s">
        <v>1564</v>
      </c>
      <c r="C753" s="54" t="s">
        <v>3892</v>
      </c>
      <c r="D753" s="53" t="s">
        <v>3893</v>
      </c>
      <c r="E753" s="54" t="s">
        <v>1565</v>
      </c>
      <c r="F753" s="54" t="s">
        <v>253</v>
      </c>
    </row>
    <row r="754" spans="1:6" ht="12" x14ac:dyDescent="0.2">
      <c r="A754" s="65">
        <v>16488</v>
      </c>
      <c r="B754" s="54" t="s">
        <v>275</v>
      </c>
      <c r="C754" s="54" t="s">
        <v>3811</v>
      </c>
      <c r="D754" s="53" t="s">
        <v>3812</v>
      </c>
      <c r="E754" s="54" t="s">
        <v>3813</v>
      </c>
      <c r="F754" s="54" t="s">
        <v>135</v>
      </c>
    </row>
    <row r="755" spans="1:6" ht="12" x14ac:dyDescent="0.2">
      <c r="A755" s="65">
        <v>16510</v>
      </c>
      <c r="B755" s="54" t="s">
        <v>3894</v>
      </c>
      <c r="C755" s="54" t="s">
        <v>3895</v>
      </c>
      <c r="D755" s="53" t="s">
        <v>3717</v>
      </c>
      <c r="E755" s="54" t="s">
        <v>3589</v>
      </c>
      <c r="F755" s="54" t="s">
        <v>82</v>
      </c>
    </row>
    <row r="756" spans="1:6" ht="12" x14ac:dyDescent="0.2">
      <c r="A756" s="65">
        <v>16511</v>
      </c>
      <c r="B756" s="54" t="s">
        <v>276</v>
      </c>
      <c r="C756" s="54" t="s">
        <v>3896</v>
      </c>
      <c r="D756" s="53" t="s">
        <v>3897</v>
      </c>
      <c r="E756" s="54" t="s">
        <v>276</v>
      </c>
      <c r="F756" s="54" t="s">
        <v>82</v>
      </c>
    </row>
    <row r="757" spans="1:6" ht="12" x14ac:dyDescent="0.2">
      <c r="A757" s="65">
        <v>16546</v>
      </c>
      <c r="B757" s="54" t="s">
        <v>1566</v>
      </c>
      <c r="C757" s="52" t="s">
        <v>3898</v>
      </c>
      <c r="D757" s="53" t="s">
        <v>3899</v>
      </c>
      <c r="E757" s="52" t="s">
        <v>1568</v>
      </c>
      <c r="F757" s="52" t="s">
        <v>112</v>
      </c>
    </row>
    <row r="758" spans="1:6" ht="12" x14ac:dyDescent="0.2">
      <c r="A758" s="65">
        <v>16550</v>
      </c>
      <c r="B758" s="54" t="s">
        <v>1569</v>
      </c>
      <c r="C758" s="52" t="s">
        <v>3900</v>
      </c>
      <c r="D758" s="53" t="s">
        <v>3901</v>
      </c>
      <c r="E758" s="52" t="s">
        <v>1569</v>
      </c>
      <c r="F758" s="52" t="s">
        <v>2505</v>
      </c>
    </row>
    <row r="759" spans="1:6" ht="12" x14ac:dyDescent="0.2">
      <c r="A759" s="65">
        <v>16563</v>
      </c>
      <c r="B759" s="52" t="s">
        <v>3902</v>
      </c>
      <c r="C759" s="52" t="s">
        <v>3903</v>
      </c>
      <c r="D759" s="53" t="s">
        <v>3904</v>
      </c>
      <c r="E759" s="54" t="s">
        <v>3902</v>
      </c>
      <c r="F759" s="54" t="s">
        <v>65</v>
      </c>
    </row>
    <row r="760" spans="1:6" ht="12" x14ac:dyDescent="0.2">
      <c r="A760" s="65">
        <v>16600</v>
      </c>
      <c r="B760" s="52" t="s">
        <v>1133</v>
      </c>
      <c r="C760" s="54" t="s">
        <v>3906</v>
      </c>
      <c r="D760" s="53" t="s">
        <v>3907</v>
      </c>
      <c r="E760" s="54" t="s">
        <v>1134</v>
      </c>
      <c r="F760" s="54" t="s">
        <v>253</v>
      </c>
    </row>
    <row r="761" spans="1:6" ht="12" x14ac:dyDescent="0.2">
      <c r="A761" s="65">
        <v>16617</v>
      </c>
      <c r="B761" s="52" t="s">
        <v>277</v>
      </c>
      <c r="C761" s="52" t="s">
        <v>3908</v>
      </c>
      <c r="D761" s="53" t="s">
        <v>3909</v>
      </c>
      <c r="E761" s="54" t="s">
        <v>3910</v>
      </c>
      <c r="F761" s="54" t="s">
        <v>82</v>
      </c>
    </row>
    <row r="762" spans="1:6" ht="12" x14ac:dyDescent="0.2">
      <c r="A762" s="65">
        <v>16618</v>
      </c>
      <c r="B762" s="52" t="s">
        <v>678</v>
      </c>
      <c r="C762" s="52" t="s">
        <v>679</v>
      </c>
      <c r="D762" s="53" t="s">
        <v>3911</v>
      </c>
      <c r="E762" s="54" t="s">
        <v>680</v>
      </c>
      <c r="F762" s="54" t="s">
        <v>171</v>
      </c>
    </row>
    <row r="763" spans="1:6" ht="12" x14ac:dyDescent="0.2">
      <c r="A763" s="65">
        <v>16654</v>
      </c>
      <c r="B763" s="52" t="s">
        <v>3912</v>
      </c>
      <c r="C763" s="52" t="s">
        <v>3913</v>
      </c>
      <c r="D763" s="53" t="s">
        <v>3914</v>
      </c>
      <c r="E763" s="54" t="s">
        <v>2086</v>
      </c>
      <c r="F763" s="54" t="s">
        <v>97</v>
      </c>
    </row>
    <row r="764" spans="1:6" ht="12" x14ac:dyDescent="0.2">
      <c r="A764" s="65">
        <v>16655</v>
      </c>
      <c r="B764" s="52" t="s">
        <v>3915</v>
      </c>
      <c r="C764" s="52" t="s">
        <v>3913</v>
      </c>
      <c r="D764" s="53" t="s">
        <v>3914</v>
      </c>
      <c r="E764" s="54" t="s">
        <v>2086</v>
      </c>
      <c r="F764" s="54" t="s">
        <v>97</v>
      </c>
    </row>
    <row r="765" spans="1:6" ht="12" x14ac:dyDescent="0.2">
      <c r="A765" s="65">
        <v>16664</v>
      </c>
      <c r="B765" s="52" t="s">
        <v>681</v>
      </c>
      <c r="C765" s="52" t="s">
        <v>3916</v>
      </c>
      <c r="D765" s="53" t="s">
        <v>3917</v>
      </c>
      <c r="E765" s="54" t="s">
        <v>3918</v>
      </c>
      <c r="F765" s="54" t="s">
        <v>207</v>
      </c>
    </row>
    <row r="766" spans="1:6" ht="12" x14ac:dyDescent="0.2">
      <c r="A766" s="65">
        <v>16675</v>
      </c>
      <c r="B766" s="52" t="s">
        <v>1570</v>
      </c>
      <c r="C766" s="52" t="s">
        <v>3919</v>
      </c>
      <c r="D766" s="53" t="s">
        <v>2557</v>
      </c>
      <c r="E766" s="54" t="s">
        <v>530</v>
      </c>
      <c r="F766" s="54" t="s">
        <v>89</v>
      </c>
    </row>
    <row r="767" spans="1:6" ht="12" x14ac:dyDescent="0.2">
      <c r="A767" s="65">
        <v>16677</v>
      </c>
      <c r="B767" s="52" t="s">
        <v>682</v>
      </c>
      <c r="C767" s="52" t="s">
        <v>683</v>
      </c>
      <c r="D767" s="53" t="s">
        <v>3920</v>
      </c>
      <c r="E767" s="54" t="s">
        <v>118</v>
      </c>
      <c r="F767" s="54" t="s">
        <v>118</v>
      </c>
    </row>
    <row r="768" spans="1:6" ht="12" x14ac:dyDescent="0.2">
      <c r="A768" s="65">
        <v>16699</v>
      </c>
      <c r="B768" s="52" t="s">
        <v>1135</v>
      </c>
      <c r="C768" s="52" t="s">
        <v>3921</v>
      </c>
      <c r="D768" s="53" t="s">
        <v>3922</v>
      </c>
      <c r="E768" s="54" t="s">
        <v>1136</v>
      </c>
      <c r="F768" s="54" t="s">
        <v>174</v>
      </c>
    </row>
    <row r="769" spans="1:6" ht="12" x14ac:dyDescent="0.2">
      <c r="A769" s="65">
        <v>16721</v>
      </c>
      <c r="B769" s="52" t="s">
        <v>3923</v>
      </c>
      <c r="C769" s="52" t="s">
        <v>3924</v>
      </c>
      <c r="D769" s="53" t="s">
        <v>3925</v>
      </c>
      <c r="E769" s="54" t="s">
        <v>3923</v>
      </c>
      <c r="F769" s="54" t="s">
        <v>42</v>
      </c>
    </row>
    <row r="770" spans="1:6" ht="12" x14ac:dyDescent="0.2">
      <c r="A770" s="65">
        <v>16729</v>
      </c>
      <c r="B770" s="52" t="s">
        <v>3926</v>
      </c>
      <c r="C770" s="52" t="s">
        <v>3927</v>
      </c>
      <c r="D770" s="53" t="s">
        <v>3928</v>
      </c>
      <c r="E770" s="54" t="s">
        <v>3929</v>
      </c>
      <c r="F770" s="54" t="s">
        <v>171</v>
      </c>
    </row>
    <row r="771" spans="1:6" ht="12" x14ac:dyDescent="0.2">
      <c r="A771" s="65">
        <v>16752</v>
      </c>
      <c r="B771" s="52" t="s">
        <v>3930</v>
      </c>
      <c r="C771" s="52" t="s">
        <v>3931</v>
      </c>
      <c r="D771" s="53" t="s">
        <v>3932</v>
      </c>
      <c r="E771" s="54" t="s">
        <v>684</v>
      </c>
      <c r="F771" s="54" t="s">
        <v>38</v>
      </c>
    </row>
    <row r="772" spans="1:6" ht="12" x14ac:dyDescent="0.2">
      <c r="A772" s="65">
        <v>16764</v>
      </c>
      <c r="B772" s="52" t="s">
        <v>1137</v>
      </c>
      <c r="C772" s="52" t="s">
        <v>3933</v>
      </c>
      <c r="D772" s="53" t="s">
        <v>3934</v>
      </c>
      <c r="E772" s="54" t="s">
        <v>39</v>
      </c>
      <c r="F772" s="54" t="s">
        <v>116</v>
      </c>
    </row>
    <row r="773" spans="1:6" ht="12" x14ac:dyDescent="0.2">
      <c r="A773" s="65">
        <v>16804</v>
      </c>
      <c r="B773" s="52" t="s">
        <v>3935</v>
      </c>
      <c r="C773" s="52" t="s">
        <v>3936</v>
      </c>
      <c r="D773" s="53" t="s">
        <v>3937</v>
      </c>
      <c r="E773" s="54" t="s">
        <v>168</v>
      </c>
      <c r="F773" s="54" t="s">
        <v>108</v>
      </c>
    </row>
    <row r="774" spans="1:6" ht="12" x14ac:dyDescent="0.2">
      <c r="A774" s="65">
        <v>16810</v>
      </c>
      <c r="B774" s="52" t="s">
        <v>278</v>
      </c>
      <c r="C774" s="52" t="s">
        <v>3938</v>
      </c>
      <c r="D774" s="53" t="s">
        <v>3784</v>
      </c>
      <c r="E774" s="54" t="s">
        <v>84</v>
      </c>
      <c r="F774" s="54" t="s">
        <v>84</v>
      </c>
    </row>
    <row r="775" spans="1:6" ht="12" x14ac:dyDescent="0.2">
      <c r="A775" s="65">
        <v>16810</v>
      </c>
      <c r="B775" s="52" t="s">
        <v>278</v>
      </c>
      <c r="C775" s="52" t="s">
        <v>3938</v>
      </c>
      <c r="D775" s="53" t="s">
        <v>3784</v>
      </c>
      <c r="E775" s="54" t="s">
        <v>84</v>
      </c>
      <c r="F775" s="54" t="s">
        <v>84</v>
      </c>
    </row>
    <row r="776" spans="1:6" ht="12" x14ac:dyDescent="0.2">
      <c r="A776" s="65">
        <v>16818</v>
      </c>
      <c r="B776" s="52" t="s">
        <v>1571</v>
      </c>
      <c r="C776" s="52" t="s">
        <v>1572</v>
      </c>
      <c r="D776" s="53" t="s">
        <v>2726</v>
      </c>
      <c r="E776" s="54" t="s">
        <v>612</v>
      </c>
      <c r="F776" s="54" t="s">
        <v>37</v>
      </c>
    </row>
    <row r="777" spans="1:6" ht="12" x14ac:dyDescent="0.2">
      <c r="A777" s="65">
        <v>16820</v>
      </c>
      <c r="B777" s="52" t="s">
        <v>1044</v>
      </c>
      <c r="C777" s="52" t="s">
        <v>3939</v>
      </c>
      <c r="D777" s="53" t="s">
        <v>2853</v>
      </c>
      <c r="E777" s="54" t="s">
        <v>1044</v>
      </c>
      <c r="F777" s="54" t="s">
        <v>42</v>
      </c>
    </row>
    <row r="778" spans="1:6" ht="12" x14ac:dyDescent="0.2">
      <c r="A778" s="65">
        <v>16821</v>
      </c>
      <c r="B778" s="52" t="s">
        <v>3940</v>
      </c>
      <c r="C778" s="52" t="s">
        <v>3941</v>
      </c>
      <c r="D778" s="53" t="s">
        <v>3942</v>
      </c>
      <c r="E778" s="54" t="s">
        <v>270</v>
      </c>
      <c r="F778" s="54" t="s">
        <v>174</v>
      </c>
    </row>
    <row r="779" spans="1:6" ht="12" x14ac:dyDescent="0.2">
      <c r="A779" s="65">
        <v>16854</v>
      </c>
      <c r="B779" s="52" t="s">
        <v>1573</v>
      </c>
      <c r="C779" s="52" t="s">
        <v>3943</v>
      </c>
      <c r="D779" s="53" t="s">
        <v>3944</v>
      </c>
      <c r="E779" s="54" t="s">
        <v>1574</v>
      </c>
      <c r="F779" s="54" t="s">
        <v>158</v>
      </c>
    </row>
    <row r="780" spans="1:6" ht="12" x14ac:dyDescent="0.2">
      <c r="A780" s="65">
        <v>16896</v>
      </c>
      <c r="B780" s="52" t="s">
        <v>3945</v>
      </c>
      <c r="C780" s="52" t="s">
        <v>3946</v>
      </c>
      <c r="D780" s="53" t="s">
        <v>3947</v>
      </c>
      <c r="E780" s="54" t="s">
        <v>279</v>
      </c>
      <c r="F780" s="54" t="s">
        <v>82</v>
      </c>
    </row>
    <row r="781" spans="1:6" ht="12" x14ac:dyDescent="0.2">
      <c r="A781" s="65">
        <v>16897</v>
      </c>
      <c r="B781" s="52" t="s">
        <v>3948</v>
      </c>
      <c r="C781" s="52" t="s">
        <v>3946</v>
      </c>
      <c r="D781" s="53" t="s">
        <v>3947</v>
      </c>
      <c r="E781" s="54" t="s">
        <v>279</v>
      </c>
      <c r="F781" s="54" t="s">
        <v>82</v>
      </c>
    </row>
    <row r="782" spans="1:6" ht="12" x14ac:dyDescent="0.2">
      <c r="A782" s="65">
        <v>16898</v>
      </c>
      <c r="B782" s="52" t="s">
        <v>280</v>
      </c>
      <c r="C782" s="52" t="s">
        <v>3949</v>
      </c>
      <c r="D782" s="53" t="s">
        <v>3950</v>
      </c>
      <c r="E782" s="54" t="s">
        <v>281</v>
      </c>
      <c r="F782" s="54" t="s">
        <v>35</v>
      </c>
    </row>
    <row r="783" spans="1:6" ht="12" x14ac:dyDescent="0.2">
      <c r="A783" s="65">
        <v>16914</v>
      </c>
      <c r="B783" s="52" t="s">
        <v>1575</v>
      </c>
      <c r="C783" s="52" t="s">
        <v>3762</v>
      </c>
      <c r="D783" s="53" t="s">
        <v>3763</v>
      </c>
      <c r="E783" s="54" t="s">
        <v>563</v>
      </c>
      <c r="F783" s="54" t="s">
        <v>108</v>
      </c>
    </row>
    <row r="784" spans="1:6" ht="12" x14ac:dyDescent="0.2">
      <c r="A784" s="65">
        <v>16928</v>
      </c>
      <c r="B784" s="52" t="s">
        <v>1576</v>
      </c>
      <c r="C784" s="52" t="s">
        <v>1577</v>
      </c>
      <c r="D784" s="53" t="s">
        <v>3951</v>
      </c>
      <c r="E784" s="54" t="s">
        <v>1578</v>
      </c>
      <c r="F784" s="54" t="s">
        <v>108</v>
      </c>
    </row>
    <row r="785" spans="1:6" ht="12" x14ac:dyDescent="0.2">
      <c r="A785" s="65">
        <v>16931</v>
      </c>
      <c r="B785" s="52" t="s">
        <v>282</v>
      </c>
      <c r="C785" s="52" t="s">
        <v>3952</v>
      </c>
      <c r="D785" s="53" t="s">
        <v>3953</v>
      </c>
      <c r="E785" s="54" t="s">
        <v>282</v>
      </c>
      <c r="F785" s="54" t="s">
        <v>112</v>
      </c>
    </row>
    <row r="786" spans="1:6" ht="12" x14ac:dyDescent="0.2">
      <c r="A786" s="65">
        <v>16976</v>
      </c>
      <c r="B786" s="52" t="s">
        <v>3954</v>
      </c>
      <c r="C786" s="52" t="s">
        <v>3955</v>
      </c>
      <c r="D786" s="53" t="s">
        <v>2581</v>
      </c>
      <c r="E786" s="54" t="s">
        <v>168</v>
      </c>
      <c r="F786" s="54" t="s">
        <v>108</v>
      </c>
    </row>
    <row r="787" spans="1:6" ht="12" x14ac:dyDescent="0.2">
      <c r="A787" s="65">
        <v>16979</v>
      </c>
      <c r="B787" s="52" t="s">
        <v>283</v>
      </c>
      <c r="C787" s="52" t="s">
        <v>3956</v>
      </c>
      <c r="D787" s="53" t="s">
        <v>3957</v>
      </c>
      <c r="E787" s="54" t="s">
        <v>283</v>
      </c>
      <c r="F787" s="54" t="s">
        <v>112</v>
      </c>
    </row>
    <row r="788" spans="1:6" ht="12" x14ac:dyDescent="0.2">
      <c r="A788" s="65">
        <v>16983</v>
      </c>
      <c r="B788" s="52" t="s">
        <v>284</v>
      </c>
      <c r="C788" s="52" t="s">
        <v>3958</v>
      </c>
      <c r="D788" s="53" t="s">
        <v>3959</v>
      </c>
      <c r="E788" s="54" t="s">
        <v>285</v>
      </c>
      <c r="F788" s="54" t="s">
        <v>285</v>
      </c>
    </row>
    <row r="789" spans="1:6" ht="12" x14ac:dyDescent="0.2">
      <c r="A789" s="65">
        <v>16998</v>
      </c>
      <c r="B789" s="52" t="s">
        <v>3960</v>
      </c>
      <c r="C789" s="52" t="s">
        <v>3961</v>
      </c>
      <c r="D789" s="53" t="s">
        <v>3962</v>
      </c>
      <c r="E789" s="54" t="s">
        <v>202</v>
      </c>
      <c r="F789" s="54" t="s">
        <v>135</v>
      </c>
    </row>
    <row r="790" spans="1:6" ht="12" x14ac:dyDescent="0.2">
      <c r="A790" s="65">
        <v>17016</v>
      </c>
      <c r="B790" s="52" t="s">
        <v>3963</v>
      </c>
      <c r="C790" s="52" t="s">
        <v>3964</v>
      </c>
      <c r="D790" s="53" t="s">
        <v>3965</v>
      </c>
      <c r="E790" s="54" t="s">
        <v>3966</v>
      </c>
      <c r="F790" s="54" t="s">
        <v>82</v>
      </c>
    </row>
    <row r="791" spans="1:6" ht="12" x14ac:dyDescent="0.2">
      <c r="A791" s="65">
        <v>17017</v>
      </c>
      <c r="B791" s="52" t="s">
        <v>3967</v>
      </c>
      <c r="C791" s="52" t="s">
        <v>3968</v>
      </c>
      <c r="D791" s="53" t="s">
        <v>3969</v>
      </c>
      <c r="E791" s="54" t="s">
        <v>286</v>
      </c>
      <c r="F791" s="54" t="s">
        <v>99</v>
      </c>
    </row>
    <row r="792" spans="1:6" ht="12" x14ac:dyDescent="0.2">
      <c r="A792" s="65">
        <v>17018</v>
      </c>
      <c r="B792" s="52" t="s">
        <v>3970</v>
      </c>
      <c r="C792" s="52" t="s">
        <v>3971</v>
      </c>
      <c r="D792" s="53" t="s">
        <v>3969</v>
      </c>
      <c r="E792" s="54" t="s">
        <v>286</v>
      </c>
      <c r="F792" s="54" t="s">
        <v>99</v>
      </c>
    </row>
    <row r="793" spans="1:6" ht="12" x14ac:dyDescent="0.2">
      <c r="A793" s="65">
        <v>17018</v>
      </c>
      <c r="B793" s="52" t="s">
        <v>3970</v>
      </c>
      <c r="C793" s="52" t="s">
        <v>3971</v>
      </c>
      <c r="D793" s="53" t="s">
        <v>3969</v>
      </c>
      <c r="E793" s="54" t="s">
        <v>286</v>
      </c>
      <c r="F793" s="54" t="s">
        <v>99</v>
      </c>
    </row>
    <row r="794" spans="1:6" ht="12" x14ac:dyDescent="0.2">
      <c r="A794" s="65">
        <v>17019</v>
      </c>
      <c r="B794" s="52" t="s">
        <v>685</v>
      </c>
      <c r="C794" s="52" t="s">
        <v>3972</v>
      </c>
      <c r="D794" s="53" t="s">
        <v>3973</v>
      </c>
      <c r="E794" s="54" t="s">
        <v>3974</v>
      </c>
      <c r="F794" s="54" t="s">
        <v>158</v>
      </c>
    </row>
    <row r="795" spans="1:6" ht="12" x14ac:dyDescent="0.2">
      <c r="A795" s="65">
        <v>17020</v>
      </c>
      <c r="B795" s="52" t="s">
        <v>686</v>
      </c>
      <c r="C795" s="52" t="s">
        <v>3975</v>
      </c>
      <c r="D795" s="53" t="s">
        <v>3973</v>
      </c>
      <c r="E795" s="54" t="s">
        <v>3974</v>
      </c>
      <c r="F795" s="54" t="s">
        <v>158</v>
      </c>
    </row>
    <row r="796" spans="1:6" ht="12" x14ac:dyDescent="0.2">
      <c r="A796" s="65">
        <v>17021</v>
      </c>
      <c r="B796" s="52" t="s">
        <v>1960</v>
      </c>
      <c r="C796" s="52" t="s">
        <v>3976</v>
      </c>
      <c r="D796" s="53" t="s">
        <v>3217</v>
      </c>
      <c r="E796" s="54" t="s">
        <v>585</v>
      </c>
      <c r="F796" s="54" t="s">
        <v>116</v>
      </c>
    </row>
    <row r="797" spans="1:6" ht="12" x14ac:dyDescent="0.2">
      <c r="A797" s="65">
        <v>17022</v>
      </c>
      <c r="B797" s="52" t="s">
        <v>1961</v>
      </c>
      <c r="C797" s="52" t="s">
        <v>3977</v>
      </c>
      <c r="D797" s="53" t="s">
        <v>3215</v>
      </c>
      <c r="E797" s="54" t="s">
        <v>583</v>
      </c>
      <c r="F797" s="54" t="s">
        <v>174</v>
      </c>
    </row>
    <row r="798" spans="1:6" ht="12" x14ac:dyDescent="0.2">
      <c r="A798" s="65">
        <v>17032</v>
      </c>
      <c r="B798" s="52" t="s">
        <v>287</v>
      </c>
      <c r="C798" s="52" t="s">
        <v>3978</v>
      </c>
      <c r="D798" s="53" t="s">
        <v>3508</v>
      </c>
      <c r="E798" s="54" t="s">
        <v>219</v>
      </c>
      <c r="F798" s="54" t="s">
        <v>36</v>
      </c>
    </row>
    <row r="799" spans="1:6" ht="12" x14ac:dyDescent="0.2">
      <c r="A799" s="65">
        <v>17034</v>
      </c>
      <c r="B799" s="52" t="s">
        <v>3979</v>
      </c>
      <c r="C799" s="52" t="s">
        <v>3980</v>
      </c>
      <c r="D799" s="53" t="s">
        <v>3981</v>
      </c>
      <c r="E799" s="54" t="s">
        <v>3982</v>
      </c>
      <c r="F799" s="54" t="s">
        <v>118</v>
      </c>
    </row>
    <row r="800" spans="1:6" ht="12" x14ac:dyDescent="0.2">
      <c r="A800" s="65">
        <v>17035</v>
      </c>
      <c r="B800" s="52" t="s">
        <v>1138</v>
      </c>
      <c r="C800" s="52" t="s">
        <v>3983</v>
      </c>
      <c r="D800" s="53" t="s">
        <v>3984</v>
      </c>
      <c r="E800" s="54" t="s">
        <v>3985</v>
      </c>
      <c r="F800" s="54" t="s">
        <v>145</v>
      </c>
    </row>
    <row r="801" spans="1:6" ht="12" x14ac:dyDescent="0.2">
      <c r="A801" s="65">
        <v>17037</v>
      </c>
      <c r="B801" s="52" t="s">
        <v>1139</v>
      </c>
      <c r="C801" s="52" t="s">
        <v>3986</v>
      </c>
      <c r="D801" s="53" t="s">
        <v>3987</v>
      </c>
      <c r="E801" s="54" t="s">
        <v>3988</v>
      </c>
      <c r="F801" s="54" t="s">
        <v>101</v>
      </c>
    </row>
    <row r="802" spans="1:6" ht="12" x14ac:dyDescent="0.2">
      <c r="A802" s="65">
        <v>17055</v>
      </c>
      <c r="B802" s="52" t="s">
        <v>1926</v>
      </c>
      <c r="C802" s="52" t="s">
        <v>3989</v>
      </c>
      <c r="D802" s="53" t="s">
        <v>3990</v>
      </c>
      <c r="E802" s="54" t="s">
        <v>1926</v>
      </c>
      <c r="F802" s="54" t="s">
        <v>145</v>
      </c>
    </row>
    <row r="803" spans="1:6" ht="12" x14ac:dyDescent="0.2">
      <c r="A803" s="65">
        <v>17079</v>
      </c>
      <c r="B803" s="52" t="s">
        <v>288</v>
      </c>
      <c r="C803" s="52" t="s">
        <v>3991</v>
      </c>
      <c r="D803" s="53" t="s">
        <v>3992</v>
      </c>
      <c r="E803" s="54" t="s">
        <v>289</v>
      </c>
      <c r="F803" s="54" t="s">
        <v>179</v>
      </c>
    </row>
    <row r="804" spans="1:6" ht="12" x14ac:dyDescent="0.2">
      <c r="A804" s="65">
        <v>17098</v>
      </c>
      <c r="B804" s="52" t="s">
        <v>3993</v>
      </c>
      <c r="C804" s="52" t="s">
        <v>3994</v>
      </c>
      <c r="D804" s="53" t="s">
        <v>3995</v>
      </c>
      <c r="E804" s="54" t="s">
        <v>3993</v>
      </c>
      <c r="F804" s="54" t="s">
        <v>99</v>
      </c>
    </row>
    <row r="805" spans="1:6" ht="12" x14ac:dyDescent="0.2">
      <c r="A805" s="65">
        <v>17115</v>
      </c>
      <c r="B805" s="52" t="s">
        <v>1311</v>
      </c>
      <c r="C805" s="52" t="s">
        <v>3996</v>
      </c>
      <c r="D805" s="53" t="s">
        <v>2987</v>
      </c>
      <c r="E805" s="54" t="s">
        <v>1340</v>
      </c>
      <c r="F805" s="54" t="s">
        <v>118</v>
      </c>
    </row>
    <row r="806" spans="1:6" ht="12" x14ac:dyDescent="0.2">
      <c r="A806" s="65">
        <v>17120</v>
      </c>
      <c r="B806" s="52" t="s">
        <v>290</v>
      </c>
      <c r="C806" s="52" t="s">
        <v>3997</v>
      </c>
      <c r="D806" s="53" t="s">
        <v>3998</v>
      </c>
      <c r="E806" s="54" t="s">
        <v>290</v>
      </c>
      <c r="F806" s="54" t="s">
        <v>84</v>
      </c>
    </row>
    <row r="807" spans="1:6" ht="12" x14ac:dyDescent="0.2">
      <c r="A807" s="65">
        <v>17121</v>
      </c>
      <c r="B807" s="52" t="s">
        <v>1579</v>
      </c>
      <c r="C807" s="52" t="s">
        <v>1580</v>
      </c>
      <c r="D807" s="53" t="s">
        <v>3999</v>
      </c>
      <c r="E807" s="54" t="s">
        <v>202</v>
      </c>
      <c r="F807" s="54" t="s">
        <v>135</v>
      </c>
    </row>
    <row r="808" spans="1:6" ht="12" x14ac:dyDescent="0.2">
      <c r="A808" s="65">
        <v>17122</v>
      </c>
      <c r="B808" s="52" t="s">
        <v>687</v>
      </c>
      <c r="C808" s="52" t="s">
        <v>1970</v>
      </c>
      <c r="D808" s="53" t="s">
        <v>4000</v>
      </c>
      <c r="E808" s="54" t="s">
        <v>688</v>
      </c>
      <c r="F808" s="54" t="s">
        <v>640</v>
      </c>
    </row>
    <row r="809" spans="1:6" ht="12" x14ac:dyDescent="0.2">
      <c r="A809" s="65">
        <v>17144</v>
      </c>
      <c r="B809" s="52" t="s">
        <v>690</v>
      </c>
      <c r="C809" s="52" t="s">
        <v>4001</v>
      </c>
      <c r="D809" s="53" t="s">
        <v>4002</v>
      </c>
      <c r="E809" s="54" t="s">
        <v>80</v>
      </c>
      <c r="F809" s="54" t="s">
        <v>80</v>
      </c>
    </row>
    <row r="810" spans="1:6" ht="12" x14ac:dyDescent="0.2">
      <c r="A810" s="65">
        <v>17146</v>
      </c>
      <c r="B810" s="52" t="s">
        <v>4003</v>
      </c>
      <c r="C810" s="52" t="s">
        <v>4004</v>
      </c>
      <c r="D810" s="53" t="s">
        <v>4005</v>
      </c>
      <c r="E810" s="54" t="s">
        <v>4003</v>
      </c>
      <c r="F810" s="54" t="s">
        <v>51</v>
      </c>
    </row>
    <row r="811" spans="1:6" ht="12" x14ac:dyDescent="0.2">
      <c r="A811" s="65">
        <v>17148</v>
      </c>
      <c r="B811" s="52" t="s">
        <v>291</v>
      </c>
      <c r="C811" s="52" t="s">
        <v>4006</v>
      </c>
      <c r="D811" s="53" t="s">
        <v>4007</v>
      </c>
      <c r="E811" s="54" t="s">
        <v>292</v>
      </c>
      <c r="F811" s="54" t="s">
        <v>50</v>
      </c>
    </row>
    <row r="812" spans="1:6" ht="12" x14ac:dyDescent="0.2">
      <c r="A812" s="65">
        <v>17153</v>
      </c>
      <c r="B812" s="52" t="s">
        <v>293</v>
      </c>
      <c r="C812" s="52" t="s">
        <v>4008</v>
      </c>
      <c r="D812" s="53" t="s">
        <v>4009</v>
      </c>
      <c r="E812" s="54" t="s">
        <v>294</v>
      </c>
      <c r="F812" s="54" t="s">
        <v>80</v>
      </c>
    </row>
    <row r="813" spans="1:6" ht="12" x14ac:dyDescent="0.2">
      <c r="A813" s="65">
        <v>17155</v>
      </c>
      <c r="B813" s="52" t="s">
        <v>691</v>
      </c>
      <c r="C813" s="52" t="s">
        <v>4010</v>
      </c>
      <c r="D813" s="53" t="s">
        <v>2697</v>
      </c>
      <c r="E813" s="54" t="s">
        <v>2698</v>
      </c>
      <c r="F813" s="54" t="s">
        <v>116</v>
      </c>
    </row>
    <row r="814" spans="1:6" ht="12" x14ac:dyDescent="0.2">
      <c r="A814" s="65">
        <v>17156</v>
      </c>
      <c r="B814" s="52" t="s">
        <v>295</v>
      </c>
      <c r="C814" s="52" t="s">
        <v>4011</v>
      </c>
      <c r="D814" s="53" t="s">
        <v>4012</v>
      </c>
      <c r="E814" s="54" t="s">
        <v>296</v>
      </c>
      <c r="F814" s="54" t="s">
        <v>82</v>
      </c>
    </row>
    <row r="815" spans="1:6" ht="12" x14ac:dyDescent="0.2">
      <c r="A815" s="65">
        <v>17157</v>
      </c>
      <c r="B815" s="52" t="s">
        <v>692</v>
      </c>
      <c r="C815" s="52" t="s">
        <v>4013</v>
      </c>
      <c r="D815" s="53" t="s">
        <v>4014</v>
      </c>
      <c r="E815" s="54" t="s">
        <v>692</v>
      </c>
      <c r="F815" s="54" t="s">
        <v>171</v>
      </c>
    </row>
    <row r="816" spans="1:6" ht="12" x14ac:dyDescent="0.2">
      <c r="A816" s="65">
        <v>17158</v>
      </c>
      <c r="B816" s="52" t="s">
        <v>693</v>
      </c>
      <c r="C816" s="52" t="s">
        <v>4015</v>
      </c>
      <c r="D816" s="53" t="s">
        <v>4016</v>
      </c>
      <c r="E816" s="54" t="s">
        <v>693</v>
      </c>
      <c r="F816" s="54" t="s">
        <v>84</v>
      </c>
    </row>
    <row r="817" spans="1:6" ht="12" x14ac:dyDescent="0.2">
      <c r="A817" s="65">
        <v>17159</v>
      </c>
      <c r="B817" s="52" t="s">
        <v>4017</v>
      </c>
      <c r="C817" s="52" t="s">
        <v>4018</v>
      </c>
      <c r="D817" s="53" t="s">
        <v>4019</v>
      </c>
      <c r="E817" s="54" t="s">
        <v>152</v>
      </c>
      <c r="F817" s="54" t="s">
        <v>152</v>
      </c>
    </row>
    <row r="818" spans="1:6" ht="12" x14ac:dyDescent="0.2">
      <c r="A818" s="65">
        <v>17160</v>
      </c>
      <c r="B818" s="52" t="s">
        <v>297</v>
      </c>
      <c r="C818" s="52" t="s">
        <v>298</v>
      </c>
      <c r="D818" s="53" t="s">
        <v>4020</v>
      </c>
      <c r="E818" s="54" t="s">
        <v>299</v>
      </c>
      <c r="F818" s="54" t="s">
        <v>116</v>
      </c>
    </row>
    <row r="819" spans="1:6" ht="12" x14ac:dyDescent="0.2">
      <c r="A819" s="65">
        <v>17161</v>
      </c>
      <c r="B819" s="52" t="s">
        <v>300</v>
      </c>
      <c r="C819" s="52" t="s">
        <v>4021</v>
      </c>
      <c r="D819" s="53" t="s">
        <v>4022</v>
      </c>
      <c r="E819" s="54" t="s">
        <v>301</v>
      </c>
      <c r="F819" s="54" t="s">
        <v>89</v>
      </c>
    </row>
    <row r="820" spans="1:6" ht="12" x14ac:dyDescent="0.2">
      <c r="A820" s="65">
        <v>17165</v>
      </c>
      <c r="B820" s="52" t="s">
        <v>302</v>
      </c>
      <c r="C820" s="52" t="s">
        <v>4023</v>
      </c>
      <c r="D820" s="53" t="s">
        <v>4024</v>
      </c>
      <c r="E820" s="54" t="s">
        <v>82</v>
      </c>
      <c r="F820" s="54" t="s">
        <v>82</v>
      </c>
    </row>
    <row r="821" spans="1:6" ht="12" x14ac:dyDescent="0.2">
      <c r="A821" s="65">
        <v>17168</v>
      </c>
      <c r="B821" s="52" t="s">
        <v>4025</v>
      </c>
      <c r="C821" s="52" t="s">
        <v>694</v>
      </c>
      <c r="D821" s="53" t="s">
        <v>4026</v>
      </c>
      <c r="E821" s="54" t="s">
        <v>648</v>
      </c>
      <c r="F821" s="54" t="s">
        <v>135</v>
      </c>
    </row>
    <row r="822" spans="1:6" ht="12" x14ac:dyDescent="0.2">
      <c r="A822" s="65">
        <v>17173</v>
      </c>
      <c r="B822" s="52" t="s">
        <v>1140</v>
      </c>
      <c r="C822" s="52" t="s">
        <v>4027</v>
      </c>
      <c r="D822" s="53" t="s">
        <v>4028</v>
      </c>
      <c r="E822" s="54" t="s">
        <v>1141</v>
      </c>
      <c r="F822" s="54" t="s">
        <v>84</v>
      </c>
    </row>
    <row r="823" spans="1:6" ht="12" x14ac:dyDescent="0.2">
      <c r="A823" s="65">
        <v>17176</v>
      </c>
      <c r="B823" s="52" t="s">
        <v>695</v>
      </c>
      <c r="C823" s="52" t="s">
        <v>4029</v>
      </c>
      <c r="D823" s="53" t="s">
        <v>4030</v>
      </c>
      <c r="E823" s="54" t="s">
        <v>171</v>
      </c>
      <c r="F823" s="54" t="s">
        <v>171</v>
      </c>
    </row>
    <row r="824" spans="1:6" ht="12" x14ac:dyDescent="0.2">
      <c r="A824" s="65">
        <v>17212</v>
      </c>
      <c r="B824" s="52" t="s">
        <v>303</v>
      </c>
      <c r="C824" s="52" t="s">
        <v>4031</v>
      </c>
      <c r="D824" s="53" t="s">
        <v>4032</v>
      </c>
      <c r="E824" s="54" t="s">
        <v>84</v>
      </c>
      <c r="F824" s="54" t="s">
        <v>84</v>
      </c>
    </row>
    <row r="825" spans="1:6" ht="12" x14ac:dyDescent="0.2">
      <c r="A825" s="65">
        <v>17217</v>
      </c>
      <c r="B825" s="52" t="s">
        <v>304</v>
      </c>
      <c r="C825" s="52" t="s">
        <v>4033</v>
      </c>
      <c r="D825" s="53" t="s">
        <v>4034</v>
      </c>
      <c r="E825" s="54" t="s">
        <v>304</v>
      </c>
      <c r="F825" s="54" t="s">
        <v>84</v>
      </c>
    </row>
    <row r="826" spans="1:6" ht="12" x14ac:dyDescent="0.2">
      <c r="A826" s="65">
        <v>17244</v>
      </c>
      <c r="B826" s="52" t="s">
        <v>1581</v>
      </c>
      <c r="C826" s="52" t="s">
        <v>1582</v>
      </c>
      <c r="D826" s="53" t="s">
        <v>3345</v>
      </c>
      <c r="E826" s="54" t="s">
        <v>324</v>
      </c>
      <c r="F826" s="54" t="s">
        <v>2505</v>
      </c>
    </row>
    <row r="827" spans="1:6" ht="12" x14ac:dyDescent="0.2">
      <c r="A827" s="65">
        <v>17262</v>
      </c>
      <c r="B827" s="52" t="s">
        <v>4035</v>
      </c>
      <c r="C827" s="52" t="s">
        <v>4036</v>
      </c>
      <c r="D827" s="53" t="s">
        <v>3879</v>
      </c>
      <c r="E827" s="54" t="s">
        <v>273</v>
      </c>
      <c r="F827" s="54" t="s">
        <v>158</v>
      </c>
    </row>
    <row r="828" spans="1:6" ht="12" x14ac:dyDescent="0.2">
      <c r="A828" s="65">
        <v>17263</v>
      </c>
      <c r="B828" s="54" t="s">
        <v>305</v>
      </c>
      <c r="C828" s="54" t="s">
        <v>4037</v>
      </c>
      <c r="D828" s="53" t="s">
        <v>4038</v>
      </c>
      <c r="E828" s="54" t="s">
        <v>306</v>
      </c>
      <c r="F828" s="54" t="s">
        <v>84</v>
      </c>
    </row>
    <row r="829" spans="1:6" ht="12" x14ac:dyDescent="0.2">
      <c r="A829" s="65">
        <v>17264</v>
      </c>
      <c r="B829" s="54" t="s">
        <v>1583</v>
      </c>
      <c r="C829" s="54" t="s">
        <v>4039</v>
      </c>
      <c r="D829" s="53" t="s">
        <v>4040</v>
      </c>
      <c r="E829" s="54" t="s">
        <v>47</v>
      </c>
      <c r="F829" s="54" t="s">
        <v>2505</v>
      </c>
    </row>
    <row r="830" spans="1:6" ht="12" x14ac:dyDescent="0.2">
      <c r="A830" s="65">
        <v>17273</v>
      </c>
      <c r="B830" s="54" t="s">
        <v>1885</v>
      </c>
      <c r="C830" s="54" t="s">
        <v>4041</v>
      </c>
      <c r="D830" s="53" t="s">
        <v>4042</v>
      </c>
      <c r="E830" s="54" t="s">
        <v>684</v>
      </c>
      <c r="F830" s="54" t="s">
        <v>38</v>
      </c>
    </row>
    <row r="831" spans="1:6" ht="12" x14ac:dyDescent="0.2">
      <c r="A831" s="66">
        <v>17307</v>
      </c>
      <c r="B831" s="54" t="s">
        <v>696</v>
      </c>
      <c r="C831" s="54" t="s">
        <v>4043</v>
      </c>
      <c r="D831" s="53" t="s">
        <v>4044</v>
      </c>
      <c r="E831" s="54" t="s">
        <v>696</v>
      </c>
      <c r="F831" s="54" t="s">
        <v>176</v>
      </c>
    </row>
    <row r="832" spans="1:6" ht="12" x14ac:dyDescent="0.2">
      <c r="A832" s="66">
        <v>17308</v>
      </c>
      <c r="B832" s="54" t="s">
        <v>2010</v>
      </c>
      <c r="C832" s="54" t="s">
        <v>4045</v>
      </c>
      <c r="D832" s="53" t="s">
        <v>4046</v>
      </c>
      <c r="E832" s="54" t="s">
        <v>2010</v>
      </c>
      <c r="F832" s="54" t="s">
        <v>97</v>
      </c>
    </row>
    <row r="833" spans="1:6" ht="12" x14ac:dyDescent="0.2">
      <c r="A833" s="65">
        <v>17324</v>
      </c>
      <c r="B833" s="54" t="s">
        <v>1946</v>
      </c>
      <c r="C833" s="54" t="s">
        <v>1958</v>
      </c>
      <c r="D833" s="53" t="s">
        <v>2695</v>
      </c>
      <c r="E833" s="54" t="s">
        <v>125</v>
      </c>
      <c r="F833" s="54" t="s">
        <v>118</v>
      </c>
    </row>
    <row r="834" spans="1:6" ht="12" x14ac:dyDescent="0.2">
      <c r="A834" s="65">
        <v>17327</v>
      </c>
      <c r="B834" s="54" t="s">
        <v>4047</v>
      </c>
      <c r="C834" s="54" t="s">
        <v>4048</v>
      </c>
      <c r="D834" s="53" t="s">
        <v>4049</v>
      </c>
      <c r="E834" s="54" t="s">
        <v>4047</v>
      </c>
      <c r="F834" s="54" t="s">
        <v>149</v>
      </c>
    </row>
    <row r="835" spans="1:6" ht="12" x14ac:dyDescent="0.2">
      <c r="A835" s="65">
        <v>17329</v>
      </c>
      <c r="B835" s="54" t="s">
        <v>1886</v>
      </c>
      <c r="C835" s="54" t="s">
        <v>4050</v>
      </c>
      <c r="D835" s="53" t="s">
        <v>3677</v>
      </c>
      <c r="E835" s="54" t="s">
        <v>1886</v>
      </c>
      <c r="F835" s="54" t="s">
        <v>97</v>
      </c>
    </row>
    <row r="836" spans="1:6" ht="12" x14ac:dyDescent="0.2">
      <c r="A836" s="65">
        <v>17334</v>
      </c>
      <c r="B836" s="54" t="s">
        <v>4051</v>
      </c>
      <c r="C836" s="54" t="s">
        <v>4052</v>
      </c>
      <c r="D836" s="53" t="s">
        <v>2693</v>
      </c>
      <c r="E836" s="54" t="s">
        <v>1019</v>
      </c>
      <c r="F836" s="54" t="s">
        <v>253</v>
      </c>
    </row>
    <row r="837" spans="1:6" ht="12" x14ac:dyDescent="0.2">
      <c r="A837" s="65">
        <v>17343</v>
      </c>
      <c r="B837" s="54" t="s">
        <v>697</v>
      </c>
      <c r="C837" s="54" t="s">
        <v>4053</v>
      </c>
      <c r="D837" s="53" t="s">
        <v>4054</v>
      </c>
      <c r="E837" s="54" t="s">
        <v>697</v>
      </c>
      <c r="F837" s="54" t="s">
        <v>99</v>
      </c>
    </row>
    <row r="838" spans="1:6" ht="12" x14ac:dyDescent="0.2">
      <c r="A838" s="65">
        <v>17347</v>
      </c>
      <c r="B838" s="54" t="s">
        <v>307</v>
      </c>
      <c r="C838" s="54" t="s">
        <v>4055</v>
      </c>
      <c r="D838" s="53" t="s">
        <v>4056</v>
      </c>
      <c r="E838" s="54" t="s">
        <v>4057</v>
      </c>
      <c r="F838" s="54" t="s">
        <v>2840</v>
      </c>
    </row>
    <row r="839" spans="1:6" ht="12" x14ac:dyDescent="0.2">
      <c r="A839" s="65">
        <v>17356</v>
      </c>
      <c r="B839" s="54" t="s">
        <v>698</v>
      </c>
      <c r="C839" s="54" t="s">
        <v>4058</v>
      </c>
      <c r="D839" s="53" t="s">
        <v>4059</v>
      </c>
      <c r="E839" s="54" t="s">
        <v>112</v>
      </c>
      <c r="F839" s="54" t="s">
        <v>112</v>
      </c>
    </row>
    <row r="840" spans="1:6" ht="12" x14ac:dyDescent="0.2">
      <c r="A840" s="65">
        <v>17360</v>
      </c>
      <c r="B840" s="54" t="s">
        <v>1142</v>
      </c>
      <c r="C840" s="54" t="s">
        <v>4060</v>
      </c>
      <c r="D840" s="53" t="s">
        <v>4061</v>
      </c>
      <c r="E840" s="54" t="s">
        <v>1143</v>
      </c>
      <c r="F840" s="54" t="s">
        <v>239</v>
      </c>
    </row>
    <row r="841" spans="1:6" ht="12" x14ac:dyDescent="0.2">
      <c r="A841" s="65">
        <v>17361</v>
      </c>
      <c r="B841" s="54" t="s">
        <v>699</v>
      </c>
      <c r="C841" s="54" t="s">
        <v>4062</v>
      </c>
      <c r="D841" s="53" t="s">
        <v>4063</v>
      </c>
      <c r="E841" s="54" t="s">
        <v>50</v>
      </c>
      <c r="F841" s="54" t="s">
        <v>50</v>
      </c>
    </row>
    <row r="842" spans="1:6" ht="12" x14ac:dyDescent="0.2">
      <c r="A842" s="65">
        <v>17362</v>
      </c>
      <c r="B842" s="54" t="s">
        <v>700</v>
      </c>
      <c r="C842" s="54" t="s">
        <v>4064</v>
      </c>
      <c r="D842" s="53" t="s">
        <v>4065</v>
      </c>
      <c r="E842" s="54" t="s">
        <v>700</v>
      </c>
      <c r="F842" s="54" t="s">
        <v>2840</v>
      </c>
    </row>
    <row r="843" spans="1:6" ht="12" x14ac:dyDescent="0.2">
      <c r="A843" s="65">
        <v>17363</v>
      </c>
      <c r="B843" s="54" t="s">
        <v>2011</v>
      </c>
      <c r="C843" s="54" t="s">
        <v>4066</v>
      </c>
      <c r="D843" s="53" t="s">
        <v>4067</v>
      </c>
      <c r="E843" s="54" t="s">
        <v>2011</v>
      </c>
      <c r="F843" s="54" t="s">
        <v>50</v>
      </c>
    </row>
    <row r="844" spans="1:6" ht="12" x14ac:dyDescent="0.2">
      <c r="A844" s="65">
        <v>17365</v>
      </c>
      <c r="B844" s="54" t="s">
        <v>702</v>
      </c>
      <c r="C844" s="54" t="s">
        <v>4068</v>
      </c>
      <c r="D844" s="53" t="s">
        <v>4069</v>
      </c>
      <c r="E844" s="54" t="s">
        <v>702</v>
      </c>
      <c r="F844" s="54" t="s">
        <v>332</v>
      </c>
    </row>
    <row r="845" spans="1:6" ht="12" x14ac:dyDescent="0.2">
      <c r="A845" s="65">
        <v>17370</v>
      </c>
      <c r="B845" s="54" t="s">
        <v>4070</v>
      </c>
      <c r="C845" s="54" t="s">
        <v>4071</v>
      </c>
      <c r="D845" s="53" t="s">
        <v>2768</v>
      </c>
      <c r="E845" s="54" t="s">
        <v>308</v>
      </c>
      <c r="F845" s="54" t="s">
        <v>48</v>
      </c>
    </row>
    <row r="846" spans="1:6" ht="12" x14ac:dyDescent="0.2">
      <c r="A846" s="65">
        <v>17377</v>
      </c>
      <c r="B846" s="54" t="s">
        <v>309</v>
      </c>
      <c r="C846" s="54" t="s">
        <v>4072</v>
      </c>
      <c r="D846" s="53" t="s">
        <v>4073</v>
      </c>
      <c r="E846" s="54" t="s">
        <v>310</v>
      </c>
      <c r="F846" s="54" t="s">
        <v>145</v>
      </c>
    </row>
    <row r="847" spans="1:6" ht="12" x14ac:dyDescent="0.2">
      <c r="A847" s="65">
        <v>17380</v>
      </c>
      <c r="B847" s="54" t="s">
        <v>4074</v>
      </c>
      <c r="C847" s="54" t="s">
        <v>4075</v>
      </c>
      <c r="D847" s="53" t="s">
        <v>2733</v>
      </c>
      <c r="E847" s="54" t="s">
        <v>311</v>
      </c>
      <c r="F847" s="54" t="s">
        <v>50</v>
      </c>
    </row>
    <row r="848" spans="1:6" ht="12" x14ac:dyDescent="0.2">
      <c r="A848" s="65">
        <v>17381</v>
      </c>
      <c r="B848" s="54" t="s">
        <v>4076</v>
      </c>
      <c r="C848" s="54" t="s">
        <v>4077</v>
      </c>
      <c r="D848" s="53" t="s">
        <v>2733</v>
      </c>
      <c r="E848" s="54" t="s">
        <v>311</v>
      </c>
      <c r="F848" s="54" t="s">
        <v>50</v>
      </c>
    </row>
    <row r="849" spans="1:6" ht="12" x14ac:dyDescent="0.2">
      <c r="A849" s="65">
        <v>17388</v>
      </c>
      <c r="B849" s="54" t="s">
        <v>312</v>
      </c>
      <c r="C849" s="54" t="s">
        <v>4078</v>
      </c>
      <c r="D849" s="53" t="s">
        <v>4079</v>
      </c>
      <c r="E849" s="54" t="s">
        <v>312</v>
      </c>
      <c r="F849" s="54" t="s">
        <v>174</v>
      </c>
    </row>
    <row r="850" spans="1:6" ht="12" x14ac:dyDescent="0.2">
      <c r="A850" s="65">
        <v>17388</v>
      </c>
      <c r="B850" s="54" t="s">
        <v>312</v>
      </c>
      <c r="C850" s="54" t="s">
        <v>4078</v>
      </c>
      <c r="D850" s="53" t="s">
        <v>4079</v>
      </c>
      <c r="E850" s="54" t="s">
        <v>312</v>
      </c>
      <c r="F850" s="54" t="s">
        <v>174</v>
      </c>
    </row>
    <row r="851" spans="1:6" ht="12" x14ac:dyDescent="0.2">
      <c r="A851" s="65">
        <v>17389</v>
      </c>
      <c r="B851" s="54" t="s">
        <v>703</v>
      </c>
      <c r="C851" s="54" t="s">
        <v>4080</v>
      </c>
      <c r="D851" s="53" t="s">
        <v>3632</v>
      </c>
      <c r="E851" s="54" t="s">
        <v>704</v>
      </c>
      <c r="F851" s="54" t="s">
        <v>158</v>
      </c>
    </row>
    <row r="852" spans="1:6" ht="12" x14ac:dyDescent="0.2">
      <c r="A852" s="65">
        <v>17390</v>
      </c>
      <c r="B852" s="54" t="s">
        <v>705</v>
      </c>
      <c r="C852" s="54" t="s">
        <v>4080</v>
      </c>
      <c r="D852" s="53" t="s">
        <v>3632</v>
      </c>
      <c r="E852" s="54" t="s">
        <v>704</v>
      </c>
      <c r="F852" s="54" t="s">
        <v>158</v>
      </c>
    </row>
    <row r="853" spans="1:6" ht="12" x14ac:dyDescent="0.2">
      <c r="A853" s="65">
        <v>17394</v>
      </c>
      <c r="B853" s="54" t="s">
        <v>1584</v>
      </c>
      <c r="C853" s="54" t="s">
        <v>4081</v>
      </c>
      <c r="D853" s="53" t="s">
        <v>4082</v>
      </c>
      <c r="E853" s="54" t="s">
        <v>1585</v>
      </c>
      <c r="F853" s="54" t="s">
        <v>84</v>
      </c>
    </row>
    <row r="854" spans="1:6" ht="12" x14ac:dyDescent="0.2">
      <c r="A854" s="65">
        <v>17423</v>
      </c>
      <c r="B854" s="54" t="s">
        <v>313</v>
      </c>
      <c r="C854" s="54" t="s">
        <v>4083</v>
      </c>
      <c r="D854" s="53" t="s">
        <v>4084</v>
      </c>
      <c r="E854" s="54" t="s">
        <v>314</v>
      </c>
      <c r="F854" s="54" t="s">
        <v>50</v>
      </c>
    </row>
    <row r="855" spans="1:6" ht="12" x14ac:dyDescent="0.2">
      <c r="A855" s="65">
        <v>17424</v>
      </c>
      <c r="B855" s="54" t="s">
        <v>315</v>
      </c>
      <c r="C855" s="54" t="s">
        <v>4083</v>
      </c>
      <c r="D855" s="53" t="s">
        <v>4084</v>
      </c>
      <c r="E855" s="54" t="s">
        <v>314</v>
      </c>
      <c r="F855" s="54" t="s">
        <v>50</v>
      </c>
    </row>
    <row r="856" spans="1:6" ht="12" x14ac:dyDescent="0.2">
      <c r="A856" s="65">
        <v>17437</v>
      </c>
      <c r="B856" s="54" t="s">
        <v>1144</v>
      </c>
      <c r="C856" s="54" t="s">
        <v>4085</v>
      </c>
      <c r="D856" s="53" t="s">
        <v>4086</v>
      </c>
      <c r="E856" s="54" t="s">
        <v>826</v>
      </c>
      <c r="F856" s="54" t="s">
        <v>84</v>
      </c>
    </row>
    <row r="857" spans="1:6" ht="12" x14ac:dyDescent="0.2">
      <c r="A857" s="65">
        <v>17441</v>
      </c>
      <c r="B857" s="54" t="s">
        <v>4087</v>
      </c>
      <c r="C857" s="54" t="s">
        <v>4088</v>
      </c>
      <c r="D857" s="53" t="s">
        <v>4089</v>
      </c>
      <c r="E857" s="54" t="s">
        <v>316</v>
      </c>
      <c r="F857" s="54" t="s">
        <v>48</v>
      </c>
    </row>
    <row r="858" spans="1:6" ht="12" x14ac:dyDescent="0.2">
      <c r="A858" s="65">
        <v>17442</v>
      </c>
      <c r="B858" s="54" t="s">
        <v>4090</v>
      </c>
      <c r="C858" s="54" t="s">
        <v>4091</v>
      </c>
      <c r="D858" s="53" t="s">
        <v>4089</v>
      </c>
      <c r="E858" s="54" t="s">
        <v>316</v>
      </c>
      <c r="F858" s="54" t="s">
        <v>48</v>
      </c>
    </row>
    <row r="859" spans="1:6" ht="12" x14ac:dyDescent="0.2">
      <c r="A859" s="65">
        <v>17445</v>
      </c>
      <c r="B859" s="54" t="s">
        <v>317</v>
      </c>
      <c r="C859" s="54" t="s">
        <v>4092</v>
      </c>
      <c r="D859" s="53" t="s">
        <v>4093</v>
      </c>
      <c r="E859" s="54" t="s">
        <v>317</v>
      </c>
      <c r="F859" s="54" t="s">
        <v>82</v>
      </c>
    </row>
    <row r="860" spans="1:6" ht="12" x14ac:dyDescent="0.2">
      <c r="A860" s="65">
        <v>17451</v>
      </c>
      <c r="B860" s="54" t="s">
        <v>706</v>
      </c>
      <c r="C860" s="54" t="s">
        <v>707</v>
      </c>
      <c r="D860" s="53" t="s">
        <v>4094</v>
      </c>
      <c r="E860" s="54" t="s">
        <v>706</v>
      </c>
      <c r="F860" s="54" t="s">
        <v>84</v>
      </c>
    </row>
    <row r="861" spans="1:6" ht="12" x14ac:dyDescent="0.2">
      <c r="A861" s="65">
        <v>17465</v>
      </c>
      <c r="B861" s="54" t="s">
        <v>318</v>
      </c>
      <c r="C861" s="54" t="s">
        <v>4095</v>
      </c>
      <c r="D861" s="53" t="s">
        <v>4096</v>
      </c>
      <c r="E861" s="54" t="s">
        <v>318</v>
      </c>
      <c r="F861" s="54" t="s">
        <v>118</v>
      </c>
    </row>
    <row r="862" spans="1:6" ht="12" x14ac:dyDescent="0.2">
      <c r="A862" s="65">
        <v>17466</v>
      </c>
      <c r="B862" s="54" t="s">
        <v>708</v>
      </c>
      <c r="C862" s="54" t="s">
        <v>4097</v>
      </c>
      <c r="D862" s="53" t="s">
        <v>4098</v>
      </c>
      <c r="E862" s="54" t="s">
        <v>179</v>
      </c>
      <c r="F862" s="54" t="s">
        <v>179</v>
      </c>
    </row>
    <row r="863" spans="1:6" ht="12" x14ac:dyDescent="0.2">
      <c r="A863" s="65">
        <v>17469</v>
      </c>
      <c r="B863" s="54" t="s">
        <v>709</v>
      </c>
      <c r="C863" s="54" t="s">
        <v>4100</v>
      </c>
      <c r="D863" s="53" t="s">
        <v>3638</v>
      </c>
      <c r="E863" s="54" t="s">
        <v>710</v>
      </c>
      <c r="F863" s="54" t="s">
        <v>108</v>
      </c>
    </row>
    <row r="864" spans="1:6" ht="12" x14ac:dyDescent="0.2">
      <c r="A864" s="65">
        <v>17474</v>
      </c>
      <c r="B864" s="54" t="s">
        <v>319</v>
      </c>
      <c r="C864" s="54" t="s">
        <v>4101</v>
      </c>
      <c r="D864" s="53" t="s">
        <v>4102</v>
      </c>
      <c r="E864" s="54" t="s">
        <v>320</v>
      </c>
      <c r="F864" s="54" t="s">
        <v>84</v>
      </c>
    </row>
    <row r="865" spans="1:6" ht="12" x14ac:dyDescent="0.2">
      <c r="A865" s="65">
        <v>17480</v>
      </c>
      <c r="B865" s="54" t="s">
        <v>321</v>
      </c>
      <c r="C865" s="54" t="s">
        <v>322</v>
      </c>
      <c r="D865" s="53" t="s">
        <v>4103</v>
      </c>
      <c r="E865" s="54" t="s">
        <v>321</v>
      </c>
      <c r="F865" s="54" t="s">
        <v>118</v>
      </c>
    </row>
    <row r="866" spans="1:6" ht="12" x14ac:dyDescent="0.2">
      <c r="A866" s="65">
        <v>17482</v>
      </c>
      <c r="B866" s="54" t="s">
        <v>323</v>
      </c>
      <c r="C866" s="54" t="s">
        <v>4104</v>
      </c>
      <c r="D866" s="53" t="s">
        <v>3682</v>
      </c>
      <c r="E866" s="54" t="s">
        <v>324</v>
      </c>
      <c r="F866" s="54" t="s">
        <v>2505</v>
      </c>
    </row>
    <row r="867" spans="1:6" ht="12" x14ac:dyDescent="0.2">
      <c r="A867" s="65">
        <v>17487</v>
      </c>
      <c r="B867" s="54" t="s">
        <v>711</v>
      </c>
      <c r="C867" s="54" t="s">
        <v>4105</v>
      </c>
      <c r="D867" s="53" t="s">
        <v>4106</v>
      </c>
      <c r="E867" s="54" t="s">
        <v>4107</v>
      </c>
      <c r="F867" s="54" t="s">
        <v>158</v>
      </c>
    </row>
    <row r="868" spans="1:6" ht="12" x14ac:dyDescent="0.2">
      <c r="A868" s="65">
        <v>17508</v>
      </c>
      <c r="B868" s="54" t="s">
        <v>325</v>
      </c>
      <c r="C868" s="54" t="s">
        <v>4108</v>
      </c>
      <c r="D868" s="53" t="s">
        <v>4109</v>
      </c>
      <c r="E868" s="54" t="s">
        <v>325</v>
      </c>
      <c r="F868" s="54" t="s">
        <v>176</v>
      </c>
    </row>
    <row r="869" spans="1:6" ht="12" x14ac:dyDescent="0.2">
      <c r="A869" s="65">
        <v>17508</v>
      </c>
      <c r="B869" s="54" t="s">
        <v>325</v>
      </c>
      <c r="C869" s="54" t="s">
        <v>4108</v>
      </c>
      <c r="D869" s="53" t="s">
        <v>4109</v>
      </c>
      <c r="E869" s="54" t="s">
        <v>325</v>
      </c>
      <c r="F869" s="54" t="s">
        <v>176</v>
      </c>
    </row>
    <row r="870" spans="1:6" ht="12" x14ac:dyDescent="0.2">
      <c r="A870" s="65">
        <v>17510</v>
      </c>
      <c r="B870" s="54" t="s">
        <v>1145</v>
      </c>
      <c r="C870" s="54" t="s">
        <v>4110</v>
      </c>
      <c r="D870" s="53" t="s">
        <v>4111</v>
      </c>
      <c r="E870" s="54" t="s">
        <v>1145</v>
      </c>
      <c r="F870" s="54" t="s">
        <v>640</v>
      </c>
    </row>
    <row r="871" spans="1:6" ht="12" x14ac:dyDescent="0.2">
      <c r="A871" s="65">
        <v>17547</v>
      </c>
      <c r="B871" s="54" t="s">
        <v>1146</v>
      </c>
      <c r="C871" s="54" t="s">
        <v>4112</v>
      </c>
      <c r="D871" s="53" t="s">
        <v>4113</v>
      </c>
      <c r="E871" s="54" t="s">
        <v>1083</v>
      </c>
      <c r="F871" s="54" t="s">
        <v>84</v>
      </c>
    </row>
    <row r="872" spans="1:6" ht="12" x14ac:dyDescent="0.2">
      <c r="A872" s="65">
        <v>17600</v>
      </c>
      <c r="B872" s="54" t="s">
        <v>326</v>
      </c>
      <c r="C872" s="54" t="s">
        <v>4114</v>
      </c>
      <c r="D872" s="53" t="s">
        <v>4115</v>
      </c>
      <c r="E872" s="54" t="s">
        <v>327</v>
      </c>
      <c r="F872" s="54" t="s">
        <v>65</v>
      </c>
    </row>
    <row r="873" spans="1:6" ht="12" x14ac:dyDescent="0.2">
      <c r="A873" s="65">
        <v>17601</v>
      </c>
      <c r="B873" s="54" t="s">
        <v>328</v>
      </c>
      <c r="C873" s="54" t="s">
        <v>4114</v>
      </c>
      <c r="D873" s="53" t="s">
        <v>4115</v>
      </c>
      <c r="E873" s="54" t="s">
        <v>327</v>
      </c>
      <c r="F873" s="54" t="s">
        <v>65</v>
      </c>
    </row>
    <row r="874" spans="1:6" ht="12" x14ac:dyDescent="0.2">
      <c r="A874" s="65">
        <v>17608</v>
      </c>
      <c r="B874" s="54" t="s">
        <v>712</v>
      </c>
      <c r="C874" s="54" t="s">
        <v>4116</v>
      </c>
      <c r="D874" s="53" t="s">
        <v>4117</v>
      </c>
      <c r="E874" s="54" t="s">
        <v>713</v>
      </c>
      <c r="F874" s="54" t="s">
        <v>158</v>
      </c>
    </row>
    <row r="875" spans="1:6" ht="12" x14ac:dyDescent="0.2">
      <c r="A875" s="65">
        <v>17621</v>
      </c>
      <c r="B875" s="54" t="s">
        <v>1586</v>
      </c>
      <c r="C875" s="54" t="s">
        <v>1587</v>
      </c>
      <c r="D875" s="53" t="s">
        <v>4118</v>
      </c>
      <c r="E875" s="54" t="s">
        <v>1586</v>
      </c>
      <c r="F875" s="54" t="s">
        <v>135</v>
      </c>
    </row>
    <row r="876" spans="1:6" ht="12" x14ac:dyDescent="0.2">
      <c r="A876" s="65">
        <v>17640</v>
      </c>
      <c r="B876" s="54" t="s">
        <v>2767</v>
      </c>
      <c r="C876" s="54" t="s">
        <v>4119</v>
      </c>
      <c r="D876" s="53" t="s">
        <v>2768</v>
      </c>
      <c r="E876" s="54" t="s">
        <v>308</v>
      </c>
      <c r="F876" s="54" t="s">
        <v>48</v>
      </c>
    </row>
    <row r="877" spans="1:6" ht="12" x14ac:dyDescent="0.2">
      <c r="A877" s="65">
        <v>17642</v>
      </c>
      <c r="B877" s="54" t="s">
        <v>329</v>
      </c>
      <c r="C877" s="54" t="s">
        <v>4120</v>
      </c>
      <c r="D877" s="53" t="s">
        <v>3621</v>
      </c>
      <c r="E877" s="54" t="s">
        <v>84</v>
      </c>
      <c r="F877" s="54" t="s">
        <v>84</v>
      </c>
    </row>
    <row r="878" spans="1:6" ht="12" x14ac:dyDescent="0.2">
      <c r="A878" s="65">
        <v>17668</v>
      </c>
      <c r="B878" s="54" t="s">
        <v>1923</v>
      </c>
      <c r="C878" s="54" t="s">
        <v>4121</v>
      </c>
      <c r="D878" s="53" t="s">
        <v>4122</v>
      </c>
      <c r="E878" s="54" t="s">
        <v>4123</v>
      </c>
      <c r="F878" s="54" t="s">
        <v>2553</v>
      </c>
    </row>
    <row r="879" spans="1:6" ht="12" x14ac:dyDescent="0.2">
      <c r="A879" s="65">
        <v>17686</v>
      </c>
      <c r="B879" s="54" t="s">
        <v>1588</v>
      </c>
      <c r="C879" s="54" t="s">
        <v>1589</v>
      </c>
      <c r="D879" s="53" t="s">
        <v>3426</v>
      </c>
      <c r="E879" s="54" t="s">
        <v>1090</v>
      </c>
      <c r="F879" s="54" t="s">
        <v>174</v>
      </c>
    </row>
    <row r="880" spans="1:6" ht="12" x14ac:dyDescent="0.2">
      <c r="A880" s="65">
        <v>17709</v>
      </c>
      <c r="B880" s="54" t="s">
        <v>4124</v>
      </c>
      <c r="C880" s="54" t="s">
        <v>4125</v>
      </c>
      <c r="D880" s="53" t="s">
        <v>4126</v>
      </c>
      <c r="E880" s="54" t="s">
        <v>330</v>
      </c>
      <c r="F880" s="54" t="s">
        <v>2840</v>
      </c>
    </row>
    <row r="881" spans="1:6" ht="12" x14ac:dyDescent="0.2">
      <c r="A881" s="65">
        <v>17710</v>
      </c>
      <c r="B881" s="54" t="s">
        <v>4127</v>
      </c>
      <c r="C881" s="54" t="s">
        <v>4128</v>
      </c>
      <c r="D881" s="53" t="s">
        <v>4129</v>
      </c>
      <c r="E881" s="54" t="s">
        <v>4130</v>
      </c>
      <c r="F881" s="54" t="s">
        <v>51</v>
      </c>
    </row>
    <row r="882" spans="1:6" ht="12" x14ac:dyDescent="0.2">
      <c r="A882" s="65">
        <v>17714</v>
      </c>
      <c r="B882" s="54" t="s">
        <v>1147</v>
      </c>
      <c r="C882" s="54" t="s">
        <v>4131</v>
      </c>
      <c r="D882" s="53" t="s">
        <v>4132</v>
      </c>
      <c r="E882" s="54" t="s">
        <v>118</v>
      </c>
      <c r="F882" s="54" t="s">
        <v>118</v>
      </c>
    </row>
    <row r="883" spans="1:6" ht="12" x14ac:dyDescent="0.2">
      <c r="A883" s="65">
        <v>17716</v>
      </c>
      <c r="B883" s="54" t="s">
        <v>331</v>
      </c>
      <c r="C883" s="54" t="s">
        <v>4133</v>
      </c>
      <c r="D883" s="53" t="s">
        <v>4134</v>
      </c>
      <c r="E883" s="54" t="s">
        <v>4135</v>
      </c>
      <c r="F883" s="54" t="s">
        <v>332</v>
      </c>
    </row>
    <row r="884" spans="1:6" ht="12" x14ac:dyDescent="0.2">
      <c r="A884" s="65">
        <v>17717</v>
      </c>
      <c r="B884" s="54" t="s">
        <v>333</v>
      </c>
      <c r="C884" s="54" t="s">
        <v>4133</v>
      </c>
      <c r="D884" s="53" t="s">
        <v>4134</v>
      </c>
      <c r="E884" s="54" t="s">
        <v>4135</v>
      </c>
      <c r="F884" s="54" t="s">
        <v>332</v>
      </c>
    </row>
    <row r="885" spans="1:6" ht="12" x14ac:dyDescent="0.2">
      <c r="A885" s="65">
        <v>17717</v>
      </c>
      <c r="B885" s="54" t="s">
        <v>333</v>
      </c>
      <c r="C885" s="54" t="s">
        <v>4133</v>
      </c>
      <c r="D885" s="53" t="s">
        <v>4134</v>
      </c>
      <c r="E885" s="54" t="s">
        <v>4135</v>
      </c>
      <c r="F885" s="54" t="s">
        <v>332</v>
      </c>
    </row>
    <row r="886" spans="1:6" ht="12" x14ac:dyDescent="0.2">
      <c r="A886" s="65">
        <v>17720</v>
      </c>
      <c r="B886" s="54" t="s">
        <v>334</v>
      </c>
      <c r="C886" s="54" t="s">
        <v>4136</v>
      </c>
      <c r="D886" s="53" t="s">
        <v>4137</v>
      </c>
      <c r="E886" s="54" t="s">
        <v>334</v>
      </c>
      <c r="F886" s="54" t="s">
        <v>97</v>
      </c>
    </row>
    <row r="887" spans="1:6" ht="12" x14ac:dyDescent="0.2">
      <c r="A887" s="65">
        <v>17741</v>
      </c>
      <c r="B887" s="54" t="s">
        <v>1590</v>
      </c>
      <c r="C887" s="54" t="s">
        <v>1591</v>
      </c>
      <c r="D887" s="53" t="s">
        <v>4138</v>
      </c>
      <c r="E887" s="54" t="s">
        <v>48</v>
      </c>
      <c r="F887" s="54" t="s">
        <v>48</v>
      </c>
    </row>
    <row r="888" spans="1:6" ht="12" x14ac:dyDescent="0.2">
      <c r="A888" s="65">
        <v>17743</v>
      </c>
      <c r="B888" s="54" t="s">
        <v>1148</v>
      </c>
      <c r="C888" s="54" t="s">
        <v>4139</v>
      </c>
      <c r="D888" s="53" t="s">
        <v>3928</v>
      </c>
      <c r="E888" s="54" t="s">
        <v>3929</v>
      </c>
      <c r="F888" s="54" t="s">
        <v>171</v>
      </c>
    </row>
    <row r="889" spans="1:6" ht="12" x14ac:dyDescent="0.2">
      <c r="A889" s="65">
        <v>17743</v>
      </c>
      <c r="B889" s="54" t="s">
        <v>1148</v>
      </c>
      <c r="C889" s="54" t="s">
        <v>4139</v>
      </c>
      <c r="D889" s="53" t="s">
        <v>3928</v>
      </c>
      <c r="E889" s="54" t="s">
        <v>3929</v>
      </c>
      <c r="F889" s="54" t="s">
        <v>171</v>
      </c>
    </row>
    <row r="890" spans="1:6" ht="12" x14ac:dyDescent="0.2">
      <c r="A890" s="65">
        <v>17749</v>
      </c>
      <c r="B890" s="54" t="s">
        <v>335</v>
      </c>
      <c r="C890" s="54" t="s">
        <v>4140</v>
      </c>
      <c r="D890" s="53" t="s">
        <v>4141</v>
      </c>
      <c r="E890" s="54" t="s">
        <v>336</v>
      </c>
      <c r="F890" s="54" t="s">
        <v>84</v>
      </c>
    </row>
    <row r="891" spans="1:6" ht="12" x14ac:dyDescent="0.2">
      <c r="A891" s="65">
        <v>17762</v>
      </c>
      <c r="B891" s="54" t="s">
        <v>4142</v>
      </c>
      <c r="C891" s="54" t="s">
        <v>4143</v>
      </c>
      <c r="D891" s="53" t="s">
        <v>4144</v>
      </c>
      <c r="E891" s="54" t="s">
        <v>336</v>
      </c>
      <c r="F891" s="54" t="s">
        <v>84</v>
      </c>
    </row>
    <row r="892" spans="1:6" ht="12" x14ac:dyDescent="0.2">
      <c r="A892" s="65">
        <v>17772</v>
      </c>
      <c r="B892" s="54" t="s">
        <v>1149</v>
      </c>
      <c r="C892" s="54" t="s">
        <v>4145</v>
      </c>
      <c r="D892" s="53" t="s">
        <v>4146</v>
      </c>
      <c r="E892" s="54" t="s">
        <v>1150</v>
      </c>
      <c r="F892" s="54" t="s">
        <v>38</v>
      </c>
    </row>
    <row r="893" spans="1:6" ht="12" x14ac:dyDescent="0.2">
      <c r="A893" s="65">
        <v>17773</v>
      </c>
      <c r="B893" s="54" t="s">
        <v>1151</v>
      </c>
      <c r="C893" s="54" t="s">
        <v>4145</v>
      </c>
      <c r="D893" s="53" t="s">
        <v>4146</v>
      </c>
      <c r="E893" s="54" t="s">
        <v>1150</v>
      </c>
      <c r="F893" s="54" t="s">
        <v>38</v>
      </c>
    </row>
    <row r="894" spans="1:6" ht="12" x14ac:dyDescent="0.2">
      <c r="A894" s="65">
        <v>17786</v>
      </c>
      <c r="B894" s="54" t="s">
        <v>337</v>
      </c>
      <c r="C894" s="54" t="s">
        <v>4147</v>
      </c>
      <c r="D894" s="53" t="s">
        <v>4148</v>
      </c>
      <c r="E894" s="54" t="s">
        <v>337</v>
      </c>
      <c r="F894" s="54" t="s">
        <v>84</v>
      </c>
    </row>
    <row r="895" spans="1:6" ht="12" x14ac:dyDescent="0.2">
      <c r="A895" s="65">
        <v>17827</v>
      </c>
      <c r="B895" s="54" t="s">
        <v>1592</v>
      </c>
      <c r="C895" s="54" t="s">
        <v>1593</v>
      </c>
      <c r="D895" s="53" t="s">
        <v>4149</v>
      </c>
      <c r="E895" s="54" t="s">
        <v>1594</v>
      </c>
      <c r="F895" s="54" t="s">
        <v>38</v>
      </c>
    </row>
    <row r="896" spans="1:6" ht="12" x14ac:dyDescent="0.2">
      <c r="A896" s="65">
        <v>17848</v>
      </c>
      <c r="B896" s="54" t="s">
        <v>338</v>
      </c>
      <c r="C896" s="54" t="s">
        <v>4150</v>
      </c>
      <c r="D896" s="53" t="s">
        <v>4151</v>
      </c>
      <c r="E896" s="54" t="s">
        <v>339</v>
      </c>
      <c r="F896" s="54" t="s">
        <v>152</v>
      </c>
    </row>
    <row r="897" spans="1:6" ht="12" x14ac:dyDescent="0.2">
      <c r="A897" s="65">
        <v>17850</v>
      </c>
      <c r="B897" s="54" t="s">
        <v>1595</v>
      </c>
      <c r="C897" s="54" t="s">
        <v>4152</v>
      </c>
      <c r="D897" s="53" t="s">
        <v>4153</v>
      </c>
      <c r="E897" s="54" t="s">
        <v>1596</v>
      </c>
      <c r="F897" s="54" t="s">
        <v>158</v>
      </c>
    </row>
    <row r="898" spans="1:6" ht="12" x14ac:dyDescent="0.2">
      <c r="A898" s="65">
        <v>17898</v>
      </c>
      <c r="B898" s="54" t="s">
        <v>1318</v>
      </c>
      <c r="C898" s="54" t="s">
        <v>4154</v>
      </c>
      <c r="D898" s="53" t="s">
        <v>2882</v>
      </c>
      <c r="E898" s="54" t="s">
        <v>1318</v>
      </c>
      <c r="F898" s="54" t="s">
        <v>152</v>
      </c>
    </row>
    <row r="899" spans="1:6" ht="12" x14ac:dyDescent="0.2">
      <c r="A899" s="65">
        <v>17899</v>
      </c>
      <c r="B899" s="54" t="s">
        <v>1597</v>
      </c>
      <c r="C899" s="54" t="s">
        <v>4155</v>
      </c>
      <c r="D899" s="53" t="s">
        <v>4156</v>
      </c>
      <c r="E899" s="54" t="s">
        <v>1598</v>
      </c>
      <c r="F899" s="54" t="s">
        <v>152</v>
      </c>
    </row>
    <row r="900" spans="1:6" ht="12" x14ac:dyDescent="0.2">
      <c r="A900" s="65">
        <v>17906</v>
      </c>
      <c r="B900" s="54" t="s">
        <v>914</v>
      </c>
      <c r="C900" s="54" t="s">
        <v>4157</v>
      </c>
      <c r="D900" s="53" t="s">
        <v>4158</v>
      </c>
      <c r="E900" s="54" t="s">
        <v>914</v>
      </c>
      <c r="F900" s="54" t="s">
        <v>36</v>
      </c>
    </row>
    <row r="901" spans="1:6" ht="12" x14ac:dyDescent="0.2">
      <c r="A901" s="65">
        <v>17914</v>
      </c>
      <c r="B901" s="54" t="s">
        <v>340</v>
      </c>
      <c r="C901" s="54" t="s">
        <v>4159</v>
      </c>
      <c r="D901" s="53" t="s">
        <v>4160</v>
      </c>
      <c r="E901" s="54" t="s">
        <v>341</v>
      </c>
      <c r="F901" s="54" t="s">
        <v>342</v>
      </c>
    </row>
    <row r="902" spans="1:6" ht="12" x14ac:dyDescent="0.2">
      <c r="A902" s="65">
        <v>17916</v>
      </c>
      <c r="B902" s="54" t="s">
        <v>1599</v>
      </c>
      <c r="C902" s="54" t="s">
        <v>4161</v>
      </c>
      <c r="D902" s="53" t="s">
        <v>4162</v>
      </c>
      <c r="E902" s="54" t="s">
        <v>1600</v>
      </c>
      <c r="F902" s="54" t="s">
        <v>2840</v>
      </c>
    </row>
    <row r="903" spans="1:6" ht="12" x14ac:dyDescent="0.2">
      <c r="A903" s="65">
        <v>17917</v>
      </c>
      <c r="B903" s="54" t="s">
        <v>343</v>
      </c>
      <c r="C903" s="54" t="s">
        <v>4163</v>
      </c>
      <c r="D903" s="53" t="s">
        <v>4164</v>
      </c>
      <c r="E903" s="54" t="s">
        <v>344</v>
      </c>
      <c r="F903" s="54" t="s">
        <v>84</v>
      </c>
    </row>
    <row r="904" spans="1:6" ht="12" x14ac:dyDescent="0.2">
      <c r="A904" s="65">
        <v>17933</v>
      </c>
      <c r="B904" s="54" t="s">
        <v>1152</v>
      </c>
      <c r="C904" s="54" t="s">
        <v>4165</v>
      </c>
      <c r="D904" s="53" t="s">
        <v>3087</v>
      </c>
      <c r="E904" s="54" t="s">
        <v>3088</v>
      </c>
      <c r="F904" s="54" t="s">
        <v>82</v>
      </c>
    </row>
    <row r="905" spans="1:6" ht="12" x14ac:dyDescent="0.2">
      <c r="A905" s="65">
        <v>17936</v>
      </c>
      <c r="B905" s="54" t="s">
        <v>4166</v>
      </c>
      <c r="C905" s="54" t="s">
        <v>4167</v>
      </c>
      <c r="D905" s="53" t="s">
        <v>4168</v>
      </c>
      <c r="E905" s="54" t="s">
        <v>4169</v>
      </c>
      <c r="F905" s="54" t="s">
        <v>89</v>
      </c>
    </row>
    <row r="906" spans="1:6" ht="12" x14ac:dyDescent="0.2">
      <c r="A906" s="65">
        <v>17962</v>
      </c>
      <c r="B906" s="54" t="s">
        <v>1601</v>
      </c>
      <c r="C906" s="54" t="s">
        <v>4170</v>
      </c>
      <c r="D906" s="53" t="s">
        <v>4171</v>
      </c>
      <c r="E906" s="54" t="s">
        <v>1602</v>
      </c>
      <c r="F906" s="54" t="s">
        <v>253</v>
      </c>
    </row>
    <row r="907" spans="1:6" ht="12" x14ac:dyDescent="0.2">
      <c r="A907" s="65">
        <v>17973</v>
      </c>
      <c r="B907" s="54" t="s">
        <v>345</v>
      </c>
      <c r="C907" s="54" t="s">
        <v>4172</v>
      </c>
      <c r="D907" s="53" t="s">
        <v>4173</v>
      </c>
      <c r="E907" s="54" t="s">
        <v>346</v>
      </c>
      <c r="F907" s="54" t="s">
        <v>118</v>
      </c>
    </row>
    <row r="908" spans="1:6" ht="12" x14ac:dyDescent="0.2">
      <c r="A908" s="65">
        <v>17974</v>
      </c>
      <c r="B908" s="54" t="s">
        <v>347</v>
      </c>
      <c r="C908" s="54" t="s">
        <v>4172</v>
      </c>
      <c r="D908" s="53" t="s">
        <v>4173</v>
      </c>
      <c r="E908" s="54" t="s">
        <v>346</v>
      </c>
      <c r="F908" s="54" t="s">
        <v>118</v>
      </c>
    </row>
    <row r="909" spans="1:6" ht="12" x14ac:dyDescent="0.2">
      <c r="A909" s="65">
        <v>17975</v>
      </c>
      <c r="B909" s="54" t="s">
        <v>1603</v>
      </c>
      <c r="C909" s="54" t="s">
        <v>1604</v>
      </c>
      <c r="D909" s="53" t="s">
        <v>4174</v>
      </c>
      <c r="E909" s="54" t="s">
        <v>84</v>
      </c>
      <c r="F909" s="54" t="s">
        <v>84</v>
      </c>
    </row>
    <row r="910" spans="1:6" ht="12" x14ac:dyDescent="0.2">
      <c r="A910" s="65">
        <v>17984</v>
      </c>
      <c r="B910" s="54" t="s">
        <v>4175</v>
      </c>
      <c r="C910" s="54" t="s">
        <v>4176</v>
      </c>
      <c r="D910" s="53" t="s">
        <v>4177</v>
      </c>
      <c r="E910" s="54" t="s">
        <v>4175</v>
      </c>
      <c r="F910" s="54" t="s">
        <v>239</v>
      </c>
    </row>
    <row r="911" spans="1:6" ht="12" x14ac:dyDescent="0.2">
      <c r="A911" s="65">
        <v>17991</v>
      </c>
      <c r="B911" s="54" t="s">
        <v>4178</v>
      </c>
      <c r="C911" s="54" t="s">
        <v>4179</v>
      </c>
      <c r="D911" s="53" t="s">
        <v>4180</v>
      </c>
      <c r="E911" s="54" t="s">
        <v>4181</v>
      </c>
      <c r="F911" s="54" t="s">
        <v>42</v>
      </c>
    </row>
    <row r="912" spans="1:6" ht="12" x14ac:dyDescent="0.2">
      <c r="A912" s="65">
        <v>17992</v>
      </c>
      <c r="B912" s="54" t="s">
        <v>4182</v>
      </c>
      <c r="C912" s="54" t="s">
        <v>4179</v>
      </c>
      <c r="D912" s="53" t="s">
        <v>4180</v>
      </c>
      <c r="E912" s="54" t="s">
        <v>4181</v>
      </c>
      <c r="F912" s="54" t="s">
        <v>42</v>
      </c>
    </row>
    <row r="913" spans="1:6" ht="12" x14ac:dyDescent="0.2">
      <c r="A913" s="65">
        <v>17994</v>
      </c>
      <c r="B913" s="54" t="s">
        <v>2120</v>
      </c>
      <c r="C913" s="54" t="s">
        <v>4183</v>
      </c>
      <c r="D913" s="53" t="s">
        <v>4184</v>
      </c>
      <c r="E913" s="54" t="s">
        <v>2122</v>
      </c>
      <c r="F913" s="54" t="s">
        <v>42</v>
      </c>
    </row>
    <row r="914" spans="1:6" ht="12" x14ac:dyDescent="0.2">
      <c r="A914" s="65">
        <v>17997</v>
      </c>
      <c r="B914" s="54" t="s">
        <v>4185</v>
      </c>
      <c r="C914" s="54" t="s">
        <v>4186</v>
      </c>
      <c r="D914" s="53" t="s">
        <v>2590</v>
      </c>
      <c r="E914" s="54" t="s">
        <v>4187</v>
      </c>
      <c r="F914" s="54" t="s">
        <v>108</v>
      </c>
    </row>
    <row r="915" spans="1:6" ht="12" x14ac:dyDescent="0.2">
      <c r="A915" s="65">
        <v>18391</v>
      </c>
      <c r="B915" s="54" t="s">
        <v>1153</v>
      </c>
      <c r="C915" s="54" t="s">
        <v>4188</v>
      </c>
      <c r="D915" s="53" t="s">
        <v>4189</v>
      </c>
      <c r="E915" s="54" t="s">
        <v>1153</v>
      </c>
      <c r="F915" s="54" t="s">
        <v>108</v>
      </c>
    </row>
    <row r="916" spans="1:6" ht="12" x14ac:dyDescent="0.2">
      <c r="A916" s="65">
        <v>18397</v>
      </c>
      <c r="B916" s="54" t="s">
        <v>1605</v>
      </c>
      <c r="C916" s="54" t="s">
        <v>1606</v>
      </c>
      <c r="D916" s="53" t="s">
        <v>4190</v>
      </c>
      <c r="E916" s="54" t="s">
        <v>1607</v>
      </c>
      <c r="F916" s="54" t="s">
        <v>84</v>
      </c>
    </row>
    <row r="917" spans="1:6" ht="12" x14ac:dyDescent="0.2">
      <c r="A917" s="65">
        <v>18543</v>
      </c>
      <c r="B917" s="54" t="s">
        <v>4191</v>
      </c>
      <c r="C917" s="54" t="s">
        <v>4192</v>
      </c>
      <c r="D917" s="53" t="s">
        <v>3763</v>
      </c>
      <c r="E917" s="54" t="s">
        <v>563</v>
      </c>
      <c r="F917" s="54" t="s">
        <v>108</v>
      </c>
    </row>
    <row r="918" spans="1:6" ht="12" x14ac:dyDescent="0.2">
      <c r="A918" s="65">
        <v>18551</v>
      </c>
      <c r="B918" s="54" t="s">
        <v>4193</v>
      </c>
      <c r="C918" s="54" t="s">
        <v>4194</v>
      </c>
      <c r="D918" s="53" t="s">
        <v>3607</v>
      </c>
      <c r="E918" s="54" t="s">
        <v>1492</v>
      </c>
      <c r="F918" s="54" t="s">
        <v>80</v>
      </c>
    </row>
    <row r="919" spans="1:6" ht="12" x14ac:dyDescent="0.2">
      <c r="A919" s="65">
        <v>18577</v>
      </c>
      <c r="B919" s="54" t="s">
        <v>1155</v>
      </c>
      <c r="C919" s="54" t="s">
        <v>4195</v>
      </c>
      <c r="D919" s="53" t="s">
        <v>4196</v>
      </c>
      <c r="E919" s="54" t="s">
        <v>1154</v>
      </c>
      <c r="F919" s="54" t="s">
        <v>2553</v>
      </c>
    </row>
    <row r="920" spans="1:6" ht="12" x14ac:dyDescent="0.2">
      <c r="A920" s="65">
        <v>18595</v>
      </c>
      <c r="B920" s="54" t="s">
        <v>348</v>
      </c>
      <c r="C920" s="54" t="s">
        <v>4197</v>
      </c>
      <c r="D920" s="53" t="s">
        <v>4198</v>
      </c>
      <c r="E920" s="54" t="s">
        <v>349</v>
      </c>
      <c r="F920" s="54" t="s">
        <v>101</v>
      </c>
    </row>
    <row r="921" spans="1:6" ht="12" x14ac:dyDescent="0.2">
      <c r="A921" s="65">
        <v>18601</v>
      </c>
      <c r="B921" s="54" t="s">
        <v>390</v>
      </c>
      <c r="C921" s="54" t="s">
        <v>4199</v>
      </c>
      <c r="D921" s="53" t="s">
        <v>3143</v>
      </c>
      <c r="E921" s="54" t="s">
        <v>390</v>
      </c>
      <c r="F921" s="54" t="s">
        <v>84</v>
      </c>
    </row>
    <row r="922" spans="1:6" ht="12" x14ac:dyDescent="0.2">
      <c r="A922" s="65">
        <v>18614</v>
      </c>
      <c r="B922" s="54" t="s">
        <v>1608</v>
      </c>
      <c r="C922" s="54" t="s">
        <v>1609</v>
      </c>
      <c r="D922" s="53" t="s">
        <v>4200</v>
      </c>
      <c r="E922" s="54" t="s">
        <v>1610</v>
      </c>
      <c r="F922" s="54" t="s">
        <v>108</v>
      </c>
    </row>
    <row r="923" spans="1:6" ht="12" x14ac:dyDescent="0.2">
      <c r="A923" s="65">
        <v>18655</v>
      </c>
      <c r="B923" s="54" t="s">
        <v>1611</v>
      </c>
      <c r="C923" s="54" t="s">
        <v>4201</v>
      </c>
      <c r="D923" s="53" t="s">
        <v>4202</v>
      </c>
      <c r="E923" s="54" t="s">
        <v>1612</v>
      </c>
      <c r="F923" s="54" t="s">
        <v>42</v>
      </c>
    </row>
    <row r="924" spans="1:6" ht="12" x14ac:dyDescent="0.2">
      <c r="A924" s="65">
        <v>18682</v>
      </c>
      <c r="B924" s="54" t="s">
        <v>1613</v>
      </c>
      <c r="C924" s="54" t="s">
        <v>1614</v>
      </c>
      <c r="D924" s="53" t="s">
        <v>3143</v>
      </c>
      <c r="E924" s="54" t="s">
        <v>390</v>
      </c>
      <c r="F924" s="54" t="s">
        <v>84</v>
      </c>
    </row>
    <row r="925" spans="1:6" ht="12" x14ac:dyDescent="0.2">
      <c r="A925" s="65">
        <v>18805</v>
      </c>
      <c r="B925" s="54" t="s">
        <v>714</v>
      </c>
      <c r="C925" s="54" t="s">
        <v>715</v>
      </c>
      <c r="D925" s="53" t="s">
        <v>4203</v>
      </c>
      <c r="E925" s="54" t="s">
        <v>576</v>
      </c>
      <c r="F925" s="54" t="s">
        <v>35</v>
      </c>
    </row>
    <row r="926" spans="1:6" ht="12" x14ac:dyDescent="0.2">
      <c r="A926" s="65">
        <v>18811</v>
      </c>
      <c r="B926" s="54" t="s">
        <v>350</v>
      </c>
      <c r="C926" s="54" t="s">
        <v>4204</v>
      </c>
      <c r="D926" s="53" t="s">
        <v>4205</v>
      </c>
      <c r="E926" s="54" t="s">
        <v>350</v>
      </c>
      <c r="F926" s="54" t="s">
        <v>108</v>
      </c>
    </row>
    <row r="927" spans="1:6" ht="12" x14ac:dyDescent="0.2">
      <c r="A927" s="65">
        <v>18826</v>
      </c>
      <c r="B927" s="54" t="s">
        <v>2045</v>
      </c>
      <c r="C927" s="54" t="s">
        <v>4206</v>
      </c>
      <c r="D927" s="53" t="s">
        <v>2560</v>
      </c>
      <c r="E927" s="54" t="s">
        <v>89</v>
      </c>
      <c r="F927" s="54" t="s">
        <v>89</v>
      </c>
    </row>
    <row r="928" spans="1:6" ht="12" x14ac:dyDescent="0.2">
      <c r="A928" s="65">
        <v>18855</v>
      </c>
      <c r="B928" s="54" t="s">
        <v>351</v>
      </c>
      <c r="C928" s="54" t="s">
        <v>4207</v>
      </c>
      <c r="D928" s="53" t="s">
        <v>4208</v>
      </c>
      <c r="E928" s="54" t="s">
        <v>352</v>
      </c>
      <c r="F928" s="54" t="s">
        <v>36</v>
      </c>
    </row>
    <row r="929" spans="1:6" ht="12" x14ac:dyDescent="0.2">
      <c r="A929" s="65">
        <v>18904</v>
      </c>
      <c r="B929" s="54" t="s">
        <v>1615</v>
      </c>
      <c r="C929" s="54" t="s">
        <v>1616</v>
      </c>
      <c r="D929" s="53" t="s">
        <v>4209</v>
      </c>
      <c r="E929" s="54" t="s">
        <v>154</v>
      </c>
      <c r="F929" s="54" t="s">
        <v>154</v>
      </c>
    </row>
    <row r="930" spans="1:6" ht="12" x14ac:dyDescent="0.2">
      <c r="A930" s="65">
        <v>18935</v>
      </c>
      <c r="B930" s="54" t="s">
        <v>1156</v>
      </c>
      <c r="C930" s="54" t="s">
        <v>4210</v>
      </c>
      <c r="D930" s="53" t="s">
        <v>4211</v>
      </c>
      <c r="E930" s="54" t="s">
        <v>1157</v>
      </c>
      <c r="F930" s="54" t="s">
        <v>50</v>
      </c>
    </row>
    <row r="931" spans="1:6" ht="12" x14ac:dyDescent="0.2">
      <c r="A931" s="65">
        <v>18936</v>
      </c>
      <c r="B931" s="54" t="s">
        <v>1158</v>
      </c>
      <c r="C931" s="54" t="s">
        <v>4210</v>
      </c>
      <c r="D931" s="53" t="s">
        <v>4211</v>
      </c>
      <c r="E931" s="54" t="s">
        <v>1157</v>
      </c>
      <c r="F931" s="54" t="s">
        <v>50</v>
      </c>
    </row>
    <row r="932" spans="1:6" ht="12" x14ac:dyDescent="0.2">
      <c r="A932" s="65">
        <v>18983</v>
      </c>
      <c r="B932" s="54" t="s">
        <v>2037</v>
      </c>
      <c r="C932" s="54" t="s">
        <v>4212</v>
      </c>
      <c r="D932" s="53" t="s">
        <v>4213</v>
      </c>
      <c r="E932" s="54" t="s">
        <v>433</v>
      </c>
      <c r="F932" s="54" t="s">
        <v>36</v>
      </c>
    </row>
    <row r="933" spans="1:6" ht="12" x14ac:dyDescent="0.2">
      <c r="A933" s="65">
        <v>19001</v>
      </c>
      <c r="B933" s="54" t="s">
        <v>1617</v>
      </c>
      <c r="C933" s="54" t="s">
        <v>1618</v>
      </c>
      <c r="D933" s="53" t="s">
        <v>4214</v>
      </c>
      <c r="E933" s="54" t="s">
        <v>63</v>
      </c>
      <c r="F933" s="54" t="s">
        <v>63</v>
      </c>
    </row>
    <row r="934" spans="1:6" ht="12" x14ac:dyDescent="0.2">
      <c r="A934" s="65">
        <v>19005</v>
      </c>
      <c r="B934" s="54" t="s">
        <v>353</v>
      </c>
      <c r="C934" s="54" t="s">
        <v>4215</v>
      </c>
      <c r="D934" s="53" t="s">
        <v>4216</v>
      </c>
      <c r="E934" s="54" t="s">
        <v>354</v>
      </c>
      <c r="F934" s="54" t="s">
        <v>211</v>
      </c>
    </row>
    <row r="935" spans="1:6" ht="12" x14ac:dyDescent="0.2">
      <c r="A935" s="65">
        <v>19012</v>
      </c>
      <c r="B935" s="54" t="s">
        <v>1055</v>
      </c>
      <c r="C935" s="54" t="s">
        <v>1619</v>
      </c>
      <c r="D935" s="53" t="s">
        <v>4217</v>
      </c>
      <c r="E935" s="54" t="s">
        <v>1338</v>
      </c>
      <c r="F935" s="54" t="s">
        <v>342</v>
      </c>
    </row>
    <row r="936" spans="1:6" ht="12" x14ac:dyDescent="0.2">
      <c r="A936" s="65">
        <v>19030</v>
      </c>
      <c r="B936" s="54" t="s">
        <v>1159</v>
      </c>
      <c r="C936" s="54" t="s">
        <v>4218</v>
      </c>
      <c r="D936" s="53" t="s">
        <v>2536</v>
      </c>
      <c r="E936" s="54" t="s">
        <v>179</v>
      </c>
      <c r="F936" s="54" t="s">
        <v>179</v>
      </c>
    </row>
    <row r="937" spans="1:6" ht="12" x14ac:dyDescent="0.2">
      <c r="A937" s="65">
        <v>19033</v>
      </c>
      <c r="B937" s="54" t="s">
        <v>1620</v>
      </c>
      <c r="C937" s="54" t="s">
        <v>1621</v>
      </c>
      <c r="D937" s="53" t="s">
        <v>4219</v>
      </c>
      <c r="E937" s="54" t="s">
        <v>680</v>
      </c>
      <c r="F937" s="54" t="s">
        <v>171</v>
      </c>
    </row>
    <row r="938" spans="1:6" ht="12" x14ac:dyDescent="0.2">
      <c r="A938" s="65">
        <v>19056</v>
      </c>
      <c r="B938" s="54" t="s">
        <v>1160</v>
      </c>
      <c r="C938" s="54" t="s">
        <v>4220</v>
      </c>
      <c r="D938" s="53" t="s">
        <v>4221</v>
      </c>
      <c r="E938" s="54" t="s">
        <v>1160</v>
      </c>
      <c r="F938" s="54" t="s">
        <v>176</v>
      </c>
    </row>
    <row r="939" spans="1:6" ht="12" x14ac:dyDescent="0.2">
      <c r="A939" s="65">
        <v>19074</v>
      </c>
      <c r="B939" s="54" t="s">
        <v>1161</v>
      </c>
      <c r="C939" s="54" t="s">
        <v>4222</v>
      </c>
      <c r="D939" s="53" t="s">
        <v>4223</v>
      </c>
      <c r="E939" s="54" t="s">
        <v>1161</v>
      </c>
      <c r="F939" s="54" t="s">
        <v>42</v>
      </c>
    </row>
    <row r="940" spans="1:6" ht="12" x14ac:dyDescent="0.2">
      <c r="A940" s="65">
        <v>19076</v>
      </c>
      <c r="B940" s="54" t="s">
        <v>4224</v>
      </c>
      <c r="C940" s="54" t="s">
        <v>4225</v>
      </c>
      <c r="D940" s="53" t="s">
        <v>4226</v>
      </c>
      <c r="E940" s="54" t="s">
        <v>4224</v>
      </c>
      <c r="F940" s="54" t="s">
        <v>158</v>
      </c>
    </row>
    <row r="941" spans="1:6" ht="12" x14ac:dyDescent="0.2">
      <c r="A941" s="65">
        <v>19096</v>
      </c>
      <c r="B941" s="54" t="s">
        <v>716</v>
      </c>
      <c r="C941" s="54" t="s">
        <v>4227</v>
      </c>
      <c r="D941" s="53" t="s">
        <v>4228</v>
      </c>
      <c r="E941" s="54" t="s">
        <v>716</v>
      </c>
      <c r="F941" s="54" t="s">
        <v>158</v>
      </c>
    </row>
    <row r="942" spans="1:6" ht="12" x14ac:dyDescent="0.2">
      <c r="A942" s="65">
        <v>19112</v>
      </c>
      <c r="B942" s="54" t="s">
        <v>4229</v>
      </c>
      <c r="C942" s="54" t="s">
        <v>4230</v>
      </c>
      <c r="D942" s="53" t="s">
        <v>4231</v>
      </c>
      <c r="E942" s="54" t="s">
        <v>350</v>
      </c>
      <c r="F942" s="54" t="s">
        <v>108</v>
      </c>
    </row>
    <row r="943" spans="1:6" ht="12" x14ac:dyDescent="0.2">
      <c r="A943" s="65">
        <v>19121</v>
      </c>
      <c r="B943" s="54" t="s">
        <v>1162</v>
      </c>
      <c r="C943" s="54" t="s">
        <v>4232</v>
      </c>
      <c r="D943" s="53" t="s">
        <v>4233</v>
      </c>
      <c r="E943" s="54" t="s">
        <v>4234</v>
      </c>
      <c r="F943" s="54" t="s">
        <v>97</v>
      </c>
    </row>
    <row r="944" spans="1:6" ht="12" x14ac:dyDescent="0.2">
      <c r="A944" s="65">
        <v>19124</v>
      </c>
      <c r="B944" s="54" t="s">
        <v>2139</v>
      </c>
      <c r="C944" s="54" t="s">
        <v>4235</v>
      </c>
      <c r="D944" s="53" t="s">
        <v>3181</v>
      </c>
      <c r="E944" s="54" t="s">
        <v>270</v>
      </c>
      <c r="F944" s="54" t="s">
        <v>174</v>
      </c>
    </row>
    <row r="945" spans="1:6" ht="12" x14ac:dyDescent="0.2">
      <c r="A945" s="65">
        <v>19136</v>
      </c>
      <c r="B945" s="54" t="s">
        <v>4236</v>
      </c>
      <c r="C945" s="54" t="s">
        <v>4237</v>
      </c>
      <c r="D945" s="53" t="s">
        <v>4238</v>
      </c>
      <c r="E945" s="54" t="s">
        <v>1163</v>
      </c>
      <c r="F945" s="54" t="s">
        <v>99</v>
      </c>
    </row>
    <row r="946" spans="1:6" ht="12" x14ac:dyDescent="0.2">
      <c r="A946" s="65">
        <v>19152</v>
      </c>
      <c r="B946" s="54" t="s">
        <v>1164</v>
      </c>
      <c r="C946" s="54" t="s">
        <v>4060</v>
      </c>
      <c r="D946" s="53" t="s">
        <v>4061</v>
      </c>
      <c r="E946" s="54" t="s">
        <v>1143</v>
      </c>
      <c r="F946" s="54" t="s">
        <v>239</v>
      </c>
    </row>
    <row r="947" spans="1:6" ht="12" x14ac:dyDescent="0.2">
      <c r="A947" s="65">
        <v>19168</v>
      </c>
      <c r="B947" s="54" t="s">
        <v>355</v>
      </c>
      <c r="C947" s="54" t="s">
        <v>4239</v>
      </c>
      <c r="D947" s="53" t="s">
        <v>4240</v>
      </c>
      <c r="E947" s="54" t="s">
        <v>82</v>
      </c>
      <c r="F947" s="54" t="s">
        <v>82</v>
      </c>
    </row>
    <row r="948" spans="1:6" ht="12" x14ac:dyDescent="0.2">
      <c r="A948" s="65">
        <v>19169</v>
      </c>
      <c r="B948" s="54" t="s">
        <v>1165</v>
      </c>
      <c r="C948" s="54" t="s">
        <v>4241</v>
      </c>
      <c r="D948" s="53" t="s">
        <v>4242</v>
      </c>
      <c r="E948" s="54" t="s">
        <v>1165</v>
      </c>
      <c r="F948" s="54" t="s">
        <v>38</v>
      </c>
    </row>
    <row r="949" spans="1:6" ht="12" x14ac:dyDescent="0.2">
      <c r="A949" s="65">
        <v>19170</v>
      </c>
      <c r="B949" s="54" t="s">
        <v>356</v>
      </c>
      <c r="C949" s="54" t="s">
        <v>4244</v>
      </c>
      <c r="D949" s="53" t="s">
        <v>4012</v>
      </c>
      <c r="E949" s="54" t="s">
        <v>296</v>
      </c>
      <c r="F949" s="54" t="s">
        <v>82</v>
      </c>
    </row>
    <row r="950" spans="1:6" ht="12" x14ac:dyDescent="0.2">
      <c r="A950" s="65">
        <v>19185</v>
      </c>
      <c r="B950" s="54" t="s">
        <v>1623</v>
      </c>
      <c r="C950" s="54" t="s">
        <v>4245</v>
      </c>
      <c r="D950" s="53" t="s">
        <v>4246</v>
      </c>
      <c r="E950" s="54" t="s">
        <v>1624</v>
      </c>
      <c r="F950" s="54" t="s">
        <v>2840</v>
      </c>
    </row>
    <row r="951" spans="1:6" ht="12" x14ac:dyDescent="0.2">
      <c r="A951" s="65">
        <v>19186</v>
      </c>
      <c r="B951" s="54" t="s">
        <v>2115</v>
      </c>
      <c r="C951" s="54" t="s">
        <v>4247</v>
      </c>
      <c r="D951" s="53" t="s">
        <v>4248</v>
      </c>
      <c r="E951" s="54" t="s">
        <v>1375</v>
      </c>
      <c r="F951" s="54" t="s">
        <v>84</v>
      </c>
    </row>
    <row r="952" spans="1:6" ht="12" x14ac:dyDescent="0.2">
      <c r="A952" s="65">
        <v>19243</v>
      </c>
      <c r="B952" s="54" t="s">
        <v>1625</v>
      </c>
      <c r="C952" s="54" t="s">
        <v>4249</v>
      </c>
      <c r="D952" s="53" t="s">
        <v>4250</v>
      </c>
      <c r="E952" s="54" t="s">
        <v>1626</v>
      </c>
      <c r="F952" s="54" t="s">
        <v>37</v>
      </c>
    </row>
    <row r="953" spans="1:6" ht="12" x14ac:dyDescent="0.2">
      <c r="A953" s="65">
        <v>19244</v>
      </c>
      <c r="B953" s="54" t="s">
        <v>1166</v>
      </c>
      <c r="C953" s="54" t="s">
        <v>4251</v>
      </c>
      <c r="D953" s="53" t="s">
        <v>4252</v>
      </c>
      <c r="E953" s="54" t="s">
        <v>1166</v>
      </c>
      <c r="F953" s="54" t="s">
        <v>174</v>
      </c>
    </row>
    <row r="954" spans="1:6" ht="12" x14ac:dyDescent="0.2">
      <c r="A954" s="65">
        <v>19245</v>
      </c>
      <c r="B954" s="54" t="s">
        <v>4253</v>
      </c>
      <c r="C954" s="54" t="s">
        <v>4254</v>
      </c>
      <c r="D954" s="53" t="s">
        <v>4255</v>
      </c>
      <c r="E954" s="54" t="s">
        <v>207</v>
      </c>
      <c r="F954" s="54" t="s">
        <v>207</v>
      </c>
    </row>
    <row r="955" spans="1:6" ht="12" x14ac:dyDescent="0.2">
      <c r="A955" s="65">
        <v>19267</v>
      </c>
      <c r="B955" s="54" t="s">
        <v>717</v>
      </c>
      <c r="C955" s="54" t="s">
        <v>718</v>
      </c>
      <c r="D955" s="53" t="s">
        <v>4256</v>
      </c>
      <c r="E955" s="54" t="s">
        <v>719</v>
      </c>
      <c r="F955" s="54" t="s">
        <v>82</v>
      </c>
    </row>
    <row r="956" spans="1:6" ht="12" x14ac:dyDescent="0.2">
      <c r="A956" s="65">
        <v>19268</v>
      </c>
      <c r="B956" s="54" t="s">
        <v>357</v>
      </c>
      <c r="C956" s="54" t="s">
        <v>4258</v>
      </c>
      <c r="D956" s="53" t="s">
        <v>3784</v>
      </c>
      <c r="E956" s="54" t="s">
        <v>84</v>
      </c>
      <c r="F956" s="54" t="s">
        <v>84</v>
      </c>
    </row>
    <row r="957" spans="1:6" ht="12" x14ac:dyDescent="0.2">
      <c r="A957" s="65">
        <v>19280</v>
      </c>
      <c r="B957" s="54" t="s">
        <v>1973</v>
      </c>
      <c r="C957" s="54" t="s">
        <v>1974</v>
      </c>
      <c r="D957" s="53" t="s">
        <v>3816</v>
      </c>
      <c r="E957" s="54" t="s">
        <v>1973</v>
      </c>
      <c r="F957" s="54" t="s">
        <v>158</v>
      </c>
    </row>
    <row r="958" spans="1:6" ht="12" x14ac:dyDescent="0.2">
      <c r="A958" s="65">
        <v>19295</v>
      </c>
      <c r="B958" s="54" t="s">
        <v>4259</v>
      </c>
      <c r="C958" s="54" t="s">
        <v>4260</v>
      </c>
      <c r="D958" s="53" t="s">
        <v>4261</v>
      </c>
      <c r="E958" s="54" t="s">
        <v>4262</v>
      </c>
      <c r="F958" s="54" t="s">
        <v>38</v>
      </c>
    </row>
    <row r="959" spans="1:6" ht="12" x14ac:dyDescent="0.2">
      <c r="A959" s="65">
        <v>19305</v>
      </c>
      <c r="B959" s="54" t="s">
        <v>1627</v>
      </c>
      <c r="C959" s="54" t="s">
        <v>4263</v>
      </c>
      <c r="D959" s="53" t="s">
        <v>3607</v>
      </c>
      <c r="E959" s="54" t="s">
        <v>1492</v>
      </c>
      <c r="F959" s="54" t="s">
        <v>80</v>
      </c>
    </row>
    <row r="960" spans="1:6" ht="12" x14ac:dyDescent="0.2">
      <c r="A960" s="65">
        <v>19307</v>
      </c>
      <c r="B960" s="54" t="s">
        <v>358</v>
      </c>
      <c r="C960" s="54" t="s">
        <v>4264</v>
      </c>
      <c r="D960" s="53" t="s">
        <v>4265</v>
      </c>
      <c r="E960" s="54" t="s">
        <v>359</v>
      </c>
      <c r="F960" s="54" t="s">
        <v>65</v>
      </c>
    </row>
    <row r="961" spans="1:6" ht="12" x14ac:dyDescent="0.2">
      <c r="A961" s="65">
        <v>19308</v>
      </c>
      <c r="B961" s="54" t="s">
        <v>360</v>
      </c>
      <c r="C961" s="54" t="s">
        <v>4266</v>
      </c>
      <c r="D961" s="53" t="s">
        <v>4265</v>
      </c>
      <c r="E961" s="54" t="s">
        <v>359</v>
      </c>
      <c r="F961" s="54" t="s">
        <v>65</v>
      </c>
    </row>
    <row r="962" spans="1:6" ht="12" x14ac:dyDescent="0.2">
      <c r="A962" s="65">
        <v>19309</v>
      </c>
      <c r="B962" s="54" t="s">
        <v>361</v>
      </c>
      <c r="C962" s="54" t="s">
        <v>4267</v>
      </c>
      <c r="D962" s="53" t="s">
        <v>4268</v>
      </c>
      <c r="E962" s="54" t="s">
        <v>362</v>
      </c>
      <c r="F962" s="54" t="s">
        <v>176</v>
      </c>
    </row>
    <row r="963" spans="1:6" ht="12" x14ac:dyDescent="0.2">
      <c r="A963" s="65">
        <v>19310</v>
      </c>
      <c r="B963" s="54" t="s">
        <v>363</v>
      </c>
      <c r="C963" s="54" t="s">
        <v>4267</v>
      </c>
      <c r="D963" s="53" t="s">
        <v>4268</v>
      </c>
      <c r="E963" s="54" t="s">
        <v>362</v>
      </c>
      <c r="F963" s="54" t="s">
        <v>176</v>
      </c>
    </row>
    <row r="964" spans="1:6" ht="12" x14ac:dyDescent="0.2">
      <c r="A964" s="65">
        <v>19311</v>
      </c>
      <c r="B964" s="54" t="s">
        <v>364</v>
      </c>
      <c r="C964" s="54" t="s">
        <v>4269</v>
      </c>
      <c r="D964" s="53" t="s">
        <v>4270</v>
      </c>
      <c r="E964" s="54" t="s">
        <v>365</v>
      </c>
      <c r="F964" s="54" t="s">
        <v>176</v>
      </c>
    </row>
    <row r="965" spans="1:6" ht="12" x14ac:dyDescent="0.2">
      <c r="A965" s="65">
        <v>19312</v>
      </c>
      <c r="B965" s="54" t="s">
        <v>366</v>
      </c>
      <c r="C965" s="54" t="s">
        <v>4269</v>
      </c>
      <c r="D965" s="53" t="s">
        <v>4270</v>
      </c>
      <c r="E965" s="54" t="s">
        <v>365</v>
      </c>
      <c r="F965" s="54" t="s">
        <v>176</v>
      </c>
    </row>
    <row r="966" spans="1:6" ht="12" x14ac:dyDescent="0.2">
      <c r="A966" s="65">
        <v>19313</v>
      </c>
      <c r="B966" s="54" t="s">
        <v>367</v>
      </c>
      <c r="C966" s="54" t="s">
        <v>4271</v>
      </c>
      <c r="D966" s="53" t="s">
        <v>3905</v>
      </c>
      <c r="E966" s="54" t="s">
        <v>368</v>
      </c>
      <c r="F966" s="54" t="s">
        <v>176</v>
      </c>
    </row>
    <row r="967" spans="1:6" ht="12" x14ac:dyDescent="0.2">
      <c r="A967" s="65">
        <v>19314</v>
      </c>
      <c r="B967" s="54" t="s">
        <v>369</v>
      </c>
      <c r="C967" s="54" t="s">
        <v>4271</v>
      </c>
      <c r="D967" s="53" t="s">
        <v>3905</v>
      </c>
      <c r="E967" s="54" t="s">
        <v>368</v>
      </c>
      <c r="F967" s="54" t="s">
        <v>176</v>
      </c>
    </row>
    <row r="968" spans="1:6" ht="12" x14ac:dyDescent="0.2">
      <c r="A968" s="65">
        <v>19360</v>
      </c>
      <c r="B968" s="54" t="s">
        <v>1628</v>
      </c>
      <c r="C968" s="54" t="s">
        <v>4272</v>
      </c>
      <c r="D968" s="53" t="s">
        <v>4273</v>
      </c>
      <c r="E968" s="54" t="s">
        <v>444</v>
      </c>
      <c r="F968" s="54" t="s">
        <v>145</v>
      </c>
    </row>
    <row r="969" spans="1:6" ht="12" x14ac:dyDescent="0.2">
      <c r="A969" s="65">
        <v>19361</v>
      </c>
      <c r="B969" s="54" t="s">
        <v>2012</v>
      </c>
      <c r="C969" s="54" t="s">
        <v>2013</v>
      </c>
      <c r="D969" s="53" t="s">
        <v>4274</v>
      </c>
      <c r="E969" s="54" t="s">
        <v>2012</v>
      </c>
      <c r="F969" s="54" t="s">
        <v>158</v>
      </c>
    </row>
    <row r="970" spans="1:6" ht="12" x14ac:dyDescent="0.2">
      <c r="A970" s="65">
        <v>19396</v>
      </c>
      <c r="B970" s="54" t="s">
        <v>2047</v>
      </c>
      <c r="C970" s="54" t="s">
        <v>4275</v>
      </c>
      <c r="D970" s="53" t="s">
        <v>3262</v>
      </c>
      <c r="E970" s="54" t="s">
        <v>701</v>
      </c>
      <c r="F970" s="54" t="s">
        <v>342</v>
      </c>
    </row>
    <row r="971" spans="1:6" ht="12" x14ac:dyDescent="0.2">
      <c r="A971" s="65">
        <v>19407</v>
      </c>
      <c r="B971" s="54" t="s">
        <v>370</v>
      </c>
      <c r="C971" s="54" t="s">
        <v>4276</v>
      </c>
      <c r="D971" s="53" t="s">
        <v>4277</v>
      </c>
      <c r="E971" s="54" t="s">
        <v>370</v>
      </c>
      <c r="F971" s="54" t="s">
        <v>145</v>
      </c>
    </row>
    <row r="972" spans="1:6" ht="12" x14ac:dyDescent="0.2">
      <c r="A972" s="65">
        <v>19409</v>
      </c>
      <c r="B972" s="54" t="s">
        <v>1167</v>
      </c>
      <c r="C972" s="54" t="s">
        <v>4278</v>
      </c>
      <c r="D972" s="53" t="s">
        <v>2758</v>
      </c>
      <c r="E972" s="54" t="s">
        <v>1167</v>
      </c>
      <c r="F972" s="54" t="s">
        <v>108</v>
      </c>
    </row>
    <row r="973" spans="1:6" ht="12" x14ac:dyDescent="0.2">
      <c r="A973" s="65">
        <v>19426</v>
      </c>
      <c r="B973" s="54" t="s">
        <v>4279</v>
      </c>
      <c r="C973" s="54" t="s">
        <v>4280</v>
      </c>
      <c r="D973" s="53" t="s">
        <v>4281</v>
      </c>
      <c r="E973" s="54" t="s">
        <v>4282</v>
      </c>
      <c r="F973" s="54" t="s">
        <v>108</v>
      </c>
    </row>
    <row r="974" spans="1:6" ht="12" x14ac:dyDescent="0.2">
      <c r="A974" s="65">
        <v>19437</v>
      </c>
      <c r="B974" s="54" t="s">
        <v>720</v>
      </c>
      <c r="C974" s="54" t="s">
        <v>721</v>
      </c>
      <c r="D974" s="53" t="s">
        <v>2689</v>
      </c>
      <c r="E974" s="54" t="s">
        <v>154</v>
      </c>
      <c r="F974" s="54" t="s">
        <v>154</v>
      </c>
    </row>
    <row r="975" spans="1:6" ht="12" x14ac:dyDescent="0.2">
      <c r="A975" s="65">
        <v>19473</v>
      </c>
      <c r="B975" s="54" t="s">
        <v>1629</v>
      </c>
      <c r="C975" s="54" t="s">
        <v>4283</v>
      </c>
      <c r="D975" s="53" t="s">
        <v>2502</v>
      </c>
      <c r="E975" s="54" t="s">
        <v>157</v>
      </c>
      <c r="F975" s="54" t="s">
        <v>158</v>
      </c>
    </row>
    <row r="976" spans="1:6" ht="12" x14ac:dyDescent="0.2">
      <c r="A976" s="65">
        <v>19474</v>
      </c>
      <c r="B976" s="54" t="s">
        <v>1168</v>
      </c>
      <c r="C976" s="54" t="s">
        <v>4284</v>
      </c>
      <c r="D976" s="53" t="s">
        <v>4285</v>
      </c>
      <c r="E976" s="54" t="s">
        <v>4286</v>
      </c>
      <c r="F976" s="54" t="s">
        <v>158</v>
      </c>
    </row>
    <row r="977" spans="1:6" ht="12" x14ac:dyDescent="0.2">
      <c r="A977" s="65">
        <v>19493</v>
      </c>
      <c r="B977" s="54" t="s">
        <v>4287</v>
      </c>
      <c r="C977" s="54" t="s">
        <v>4288</v>
      </c>
      <c r="D977" s="53" t="s">
        <v>4289</v>
      </c>
      <c r="E977" s="54" t="s">
        <v>2134</v>
      </c>
      <c r="F977" s="54" t="s">
        <v>48</v>
      </c>
    </row>
    <row r="978" spans="1:6" ht="12" x14ac:dyDescent="0.2">
      <c r="A978" s="65">
        <v>19505</v>
      </c>
      <c r="B978" s="54" t="s">
        <v>1169</v>
      </c>
      <c r="C978" s="54" t="s">
        <v>4290</v>
      </c>
      <c r="D978" s="53" t="s">
        <v>2844</v>
      </c>
      <c r="E978" s="54" t="s">
        <v>405</v>
      </c>
      <c r="F978" s="54" t="s">
        <v>118</v>
      </c>
    </row>
    <row r="979" spans="1:6" ht="12" x14ac:dyDescent="0.2">
      <c r="A979" s="65">
        <v>19508</v>
      </c>
      <c r="B979" s="54" t="s">
        <v>1170</v>
      </c>
      <c r="C979" s="54" t="s">
        <v>2958</v>
      </c>
      <c r="D979" s="53" t="s">
        <v>2959</v>
      </c>
      <c r="E979" s="54" t="s">
        <v>1063</v>
      </c>
      <c r="F979" s="54" t="s">
        <v>112</v>
      </c>
    </row>
    <row r="980" spans="1:6" ht="12" x14ac:dyDescent="0.2">
      <c r="A980" s="65">
        <v>19511</v>
      </c>
      <c r="B980" s="54" t="s">
        <v>1888</v>
      </c>
      <c r="C980" s="54" t="s">
        <v>4291</v>
      </c>
      <c r="D980" s="53" t="s">
        <v>4292</v>
      </c>
      <c r="E980" s="54" t="s">
        <v>4293</v>
      </c>
      <c r="F980" s="54" t="s">
        <v>35</v>
      </c>
    </row>
    <row r="981" spans="1:6" ht="12" x14ac:dyDescent="0.2">
      <c r="A981" s="65">
        <v>19511</v>
      </c>
      <c r="B981" s="54" t="s">
        <v>1888</v>
      </c>
      <c r="C981" s="54" t="s">
        <v>4291</v>
      </c>
      <c r="D981" s="53" t="s">
        <v>4292</v>
      </c>
      <c r="E981" s="54" t="s">
        <v>4293</v>
      </c>
      <c r="F981" s="54" t="s">
        <v>35</v>
      </c>
    </row>
    <row r="982" spans="1:6" ht="12" x14ac:dyDescent="0.2">
      <c r="A982" s="65">
        <v>19539</v>
      </c>
      <c r="B982" s="54" t="s">
        <v>1171</v>
      </c>
      <c r="C982" s="54" t="s">
        <v>4294</v>
      </c>
      <c r="D982" s="53" t="s">
        <v>3638</v>
      </c>
      <c r="E982" s="54" t="s">
        <v>710</v>
      </c>
      <c r="F982" s="54" t="s">
        <v>108</v>
      </c>
    </row>
    <row r="983" spans="1:6" ht="12" x14ac:dyDescent="0.2">
      <c r="A983" s="65">
        <v>19542</v>
      </c>
      <c r="B983" s="54" t="s">
        <v>1172</v>
      </c>
      <c r="C983" s="54" t="s">
        <v>4295</v>
      </c>
      <c r="D983" s="53" t="s">
        <v>4296</v>
      </c>
      <c r="E983" s="54" t="s">
        <v>1172</v>
      </c>
      <c r="F983" s="54" t="s">
        <v>63</v>
      </c>
    </row>
    <row r="984" spans="1:6" ht="12" x14ac:dyDescent="0.2">
      <c r="A984" s="65">
        <v>19543</v>
      </c>
      <c r="B984" s="54" t="s">
        <v>371</v>
      </c>
      <c r="C984" s="54" t="s">
        <v>4297</v>
      </c>
      <c r="D984" s="53" t="s">
        <v>4298</v>
      </c>
      <c r="E984" s="54" t="s">
        <v>105</v>
      </c>
      <c r="F984" s="54" t="s">
        <v>84</v>
      </c>
    </row>
    <row r="985" spans="1:6" ht="12" x14ac:dyDescent="0.2">
      <c r="A985" s="65">
        <v>19598</v>
      </c>
      <c r="B985" s="54" t="s">
        <v>1630</v>
      </c>
      <c r="C985" s="54" t="s">
        <v>1631</v>
      </c>
      <c r="D985" s="53" t="s">
        <v>4299</v>
      </c>
      <c r="E985" s="54" t="s">
        <v>1632</v>
      </c>
      <c r="F985" s="54" t="s">
        <v>135</v>
      </c>
    </row>
    <row r="986" spans="1:6" ht="12" x14ac:dyDescent="0.2">
      <c r="A986" s="65">
        <v>19600</v>
      </c>
      <c r="B986" s="54" t="s">
        <v>1140</v>
      </c>
      <c r="C986" s="54" t="s">
        <v>4300</v>
      </c>
      <c r="D986" s="53" t="s">
        <v>4301</v>
      </c>
      <c r="E986" s="54" t="s">
        <v>1140</v>
      </c>
      <c r="F986" s="54" t="s">
        <v>38</v>
      </c>
    </row>
    <row r="987" spans="1:6" ht="12" x14ac:dyDescent="0.2">
      <c r="A987" s="65">
        <v>19632</v>
      </c>
      <c r="B987" s="54" t="s">
        <v>1889</v>
      </c>
      <c r="C987" s="54" t="s">
        <v>4302</v>
      </c>
      <c r="D987" s="53" t="s">
        <v>3533</v>
      </c>
      <c r="E987" s="54" t="s">
        <v>748</v>
      </c>
      <c r="F987" s="54" t="s">
        <v>116</v>
      </c>
    </row>
    <row r="988" spans="1:6" ht="12" x14ac:dyDescent="0.2">
      <c r="A988" s="65">
        <v>19638</v>
      </c>
      <c r="B988" s="54" t="s">
        <v>1173</v>
      </c>
      <c r="C988" s="54" t="s">
        <v>4303</v>
      </c>
      <c r="D988" s="53" t="s">
        <v>4213</v>
      </c>
      <c r="E988" s="54" t="s">
        <v>433</v>
      </c>
      <c r="F988" s="54" t="s">
        <v>36</v>
      </c>
    </row>
    <row r="989" spans="1:6" ht="12" x14ac:dyDescent="0.2">
      <c r="A989" s="65">
        <v>19717</v>
      </c>
      <c r="B989" s="54" t="s">
        <v>1633</v>
      </c>
      <c r="C989" s="54" t="s">
        <v>1634</v>
      </c>
      <c r="D989" s="53" t="s">
        <v>4304</v>
      </c>
      <c r="E989" s="54" t="s">
        <v>1633</v>
      </c>
      <c r="F989" s="54" t="s">
        <v>38</v>
      </c>
    </row>
    <row r="990" spans="1:6" ht="12" x14ac:dyDescent="0.2">
      <c r="A990" s="65">
        <v>19726</v>
      </c>
      <c r="B990" s="54" t="s">
        <v>1174</v>
      </c>
      <c r="C990" s="54" t="s">
        <v>4305</v>
      </c>
      <c r="D990" s="53" t="s">
        <v>4306</v>
      </c>
      <c r="E990" s="54" t="s">
        <v>174</v>
      </c>
      <c r="F990" s="54" t="s">
        <v>174</v>
      </c>
    </row>
    <row r="991" spans="1:6" ht="12" x14ac:dyDescent="0.2">
      <c r="A991" s="65">
        <v>19742</v>
      </c>
      <c r="B991" s="54" t="s">
        <v>1175</v>
      </c>
      <c r="C991" s="54" t="s">
        <v>4307</v>
      </c>
      <c r="D991" s="53" t="s">
        <v>4308</v>
      </c>
      <c r="E991" s="54" t="s">
        <v>1176</v>
      </c>
      <c r="F991" s="54" t="s">
        <v>239</v>
      </c>
    </row>
    <row r="992" spans="1:6" ht="12" x14ac:dyDescent="0.2">
      <c r="A992" s="65">
        <v>19742</v>
      </c>
      <c r="B992" s="54" t="s">
        <v>1175</v>
      </c>
      <c r="C992" s="54" t="s">
        <v>4307</v>
      </c>
      <c r="D992" s="53" t="s">
        <v>4308</v>
      </c>
      <c r="E992" s="54" t="s">
        <v>1176</v>
      </c>
      <c r="F992" s="54" t="s">
        <v>239</v>
      </c>
    </row>
    <row r="993" spans="1:6" ht="12" x14ac:dyDescent="0.2">
      <c r="A993" s="65">
        <v>19743</v>
      </c>
      <c r="B993" s="54" t="s">
        <v>1177</v>
      </c>
      <c r="C993" s="54" t="s">
        <v>4307</v>
      </c>
      <c r="D993" s="53" t="s">
        <v>4308</v>
      </c>
      <c r="E993" s="54" t="s">
        <v>1176</v>
      </c>
      <c r="F993" s="54" t="s">
        <v>239</v>
      </c>
    </row>
    <row r="994" spans="1:6" ht="12" x14ac:dyDescent="0.2">
      <c r="A994" s="65">
        <v>19744</v>
      </c>
      <c r="B994" s="54" t="s">
        <v>1890</v>
      </c>
      <c r="C994" s="54" t="s">
        <v>4309</v>
      </c>
      <c r="D994" s="53" t="s">
        <v>3240</v>
      </c>
      <c r="E994" s="54" t="s">
        <v>4310</v>
      </c>
      <c r="F994" s="54" t="s">
        <v>42</v>
      </c>
    </row>
    <row r="995" spans="1:6" ht="12" x14ac:dyDescent="0.2">
      <c r="A995" s="65">
        <v>19751</v>
      </c>
      <c r="B995" s="54" t="s">
        <v>4311</v>
      </c>
      <c r="C995" s="54" t="s">
        <v>4312</v>
      </c>
      <c r="D995" s="53" t="s">
        <v>4313</v>
      </c>
      <c r="E995" s="54" t="s">
        <v>4314</v>
      </c>
      <c r="F995" s="54" t="s">
        <v>108</v>
      </c>
    </row>
    <row r="996" spans="1:6" ht="12" x14ac:dyDescent="0.2">
      <c r="A996" s="65">
        <v>19837</v>
      </c>
      <c r="B996" s="54" t="s">
        <v>1178</v>
      </c>
      <c r="C996" s="54" t="s">
        <v>4315</v>
      </c>
      <c r="D996" s="53" t="s">
        <v>3640</v>
      </c>
      <c r="E996" s="54" t="s">
        <v>342</v>
      </c>
      <c r="F996" s="54" t="s">
        <v>342</v>
      </c>
    </row>
    <row r="997" spans="1:6" ht="12" x14ac:dyDescent="0.2">
      <c r="A997" s="65">
        <v>19843</v>
      </c>
      <c r="B997" s="54" t="s">
        <v>1635</v>
      </c>
      <c r="C997" s="54" t="s">
        <v>4316</v>
      </c>
      <c r="D997" s="53" t="s">
        <v>4317</v>
      </c>
      <c r="E997" s="54" t="s">
        <v>1636</v>
      </c>
      <c r="F997" s="54" t="s">
        <v>145</v>
      </c>
    </row>
    <row r="998" spans="1:6" ht="12" x14ac:dyDescent="0.2">
      <c r="A998" s="65">
        <v>19894</v>
      </c>
      <c r="B998" s="54" t="s">
        <v>1179</v>
      </c>
      <c r="C998" s="54" t="s">
        <v>4318</v>
      </c>
      <c r="D998" s="53" t="s">
        <v>4319</v>
      </c>
      <c r="E998" s="54" t="s">
        <v>1179</v>
      </c>
      <c r="F998" s="54" t="s">
        <v>63</v>
      </c>
    </row>
    <row r="999" spans="1:6" ht="12" x14ac:dyDescent="0.2">
      <c r="A999" s="65">
        <v>19899</v>
      </c>
      <c r="B999" s="54" t="s">
        <v>2065</v>
      </c>
      <c r="C999" s="54" t="s">
        <v>4320</v>
      </c>
      <c r="D999" s="53" t="s">
        <v>4321</v>
      </c>
      <c r="E999" s="54" t="s">
        <v>4322</v>
      </c>
      <c r="F999" s="54" t="s">
        <v>640</v>
      </c>
    </row>
    <row r="1000" spans="1:6" ht="12" x14ac:dyDescent="0.2">
      <c r="A1000" s="65">
        <v>19909</v>
      </c>
      <c r="B1000" s="54" t="s">
        <v>4323</v>
      </c>
      <c r="C1000" s="54" t="s">
        <v>4324</v>
      </c>
      <c r="D1000" s="53" t="s">
        <v>4325</v>
      </c>
      <c r="E1000" s="54" t="s">
        <v>4326</v>
      </c>
      <c r="F1000" s="54" t="s">
        <v>50</v>
      </c>
    </row>
    <row r="1001" spans="1:6" ht="12" x14ac:dyDescent="0.2">
      <c r="A1001" s="65">
        <v>19923</v>
      </c>
      <c r="B1001" s="54" t="s">
        <v>1180</v>
      </c>
      <c r="C1001" s="54" t="s">
        <v>4327</v>
      </c>
      <c r="D1001" s="53" t="s">
        <v>4328</v>
      </c>
      <c r="E1001" s="54" t="s">
        <v>1181</v>
      </c>
      <c r="F1001" s="54" t="s">
        <v>174</v>
      </c>
    </row>
    <row r="1002" spans="1:6" ht="12" x14ac:dyDescent="0.2">
      <c r="A1002" s="65">
        <v>19933</v>
      </c>
      <c r="B1002" s="54" t="s">
        <v>1182</v>
      </c>
      <c r="C1002" s="54" t="s">
        <v>4329</v>
      </c>
      <c r="D1002" s="53" t="s">
        <v>4330</v>
      </c>
      <c r="E1002" s="54" t="s">
        <v>1182</v>
      </c>
      <c r="F1002" s="54" t="s">
        <v>158</v>
      </c>
    </row>
    <row r="1003" spans="1:6" ht="12" x14ac:dyDescent="0.2">
      <c r="A1003" s="65">
        <v>19940</v>
      </c>
      <c r="B1003" s="54" t="s">
        <v>1637</v>
      </c>
      <c r="C1003" s="54" t="s">
        <v>4331</v>
      </c>
      <c r="D1003" s="53" t="s">
        <v>2521</v>
      </c>
      <c r="E1003" s="54" t="s">
        <v>147</v>
      </c>
      <c r="F1003" s="54" t="s">
        <v>145</v>
      </c>
    </row>
    <row r="1004" spans="1:6" ht="12" x14ac:dyDescent="0.2">
      <c r="A1004" s="65">
        <v>19952</v>
      </c>
      <c r="B1004" s="54" t="s">
        <v>1891</v>
      </c>
      <c r="C1004" s="54" t="s">
        <v>1892</v>
      </c>
      <c r="D1004" s="53" t="s">
        <v>4099</v>
      </c>
      <c r="E1004" s="54" t="s">
        <v>1891</v>
      </c>
      <c r="F1004" s="54" t="s">
        <v>2553</v>
      </c>
    </row>
    <row r="1005" spans="1:6" ht="12" x14ac:dyDescent="0.2">
      <c r="A1005" s="65">
        <v>19956</v>
      </c>
      <c r="B1005" s="54" t="s">
        <v>1638</v>
      </c>
      <c r="C1005" s="54" t="s">
        <v>4332</v>
      </c>
      <c r="D1005" s="53" t="s">
        <v>4333</v>
      </c>
      <c r="E1005" s="54" t="s">
        <v>1639</v>
      </c>
      <c r="F1005" s="54" t="s">
        <v>50</v>
      </c>
    </row>
    <row r="1006" spans="1:6" ht="12" x14ac:dyDescent="0.2">
      <c r="A1006" s="65">
        <v>19957</v>
      </c>
      <c r="B1006" s="54" t="s">
        <v>722</v>
      </c>
      <c r="C1006" s="54" t="s">
        <v>723</v>
      </c>
      <c r="D1006" s="53" t="s">
        <v>4334</v>
      </c>
      <c r="E1006" s="54" t="s">
        <v>158</v>
      </c>
      <c r="F1006" s="54" t="s">
        <v>158</v>
      </c>
    </row>
    <row r="1007" spans="1:6" ht="12" x14ac:dyDescent="0.2">
      <c r="A1007" s="65">
        <v>19966</v>
      </c>
      <c r="B1007" s="54" t="s">
        <v>1183</v>
      </c>
      <c r="C1007" s="54" t="s">
        <v>4335</v>
      </c>
      <c r="D1007" s="53" t="s">
        <v>4336</v>
      </c>
      <c r="E1007" s="54" t="s">
        <v>796</v>
      </c>
      <c r="F1007" s="54" t="s">
        <v>51</v>
      </c>
    </row>
    <row r="1008" spans="1:6" ht="12" x14ac:dyDescent="0.2">
      <c r="A1008" s="65">
        <v>19986</v>
      </c>
      <c r="B1008" s="54" t="s">
        <v>1640</v>
      </c>
      <c r="C1008" s="54" t="s">
        <v>4337</v>
      </c>
      <c r="D1008" s="53" t="s">
        <v>4338</v>
      </c>
      <c r="E1008" s="54" t="s">
        <v>798</v>
      </c>
      <c r="F1008" s="54" t="s">
        <v>50</v>
      </c>
    </row>
    <row r="1009" spans="1:6" ht="12" x14ac:dyDescent="0.2">
      <c r="A1009" s="65">
        <v>20102</v>
      </c>
      <c r="B1009" s="54" t="s">
        <v>1184</v>
      </c>
      <c r="C1009" s="54" t="s">
        <v>4339</v>
      </c>
      <c r="D1009" s="53" t="s">
        <v>4340</v>
      </c>
      <c r="E1009" s="54" t="s">
        <v>1184</v>
      </c>
      <c r="F1009" s="54" t="s">
        <v>174</v>
      </c>
    </row>
    <row r="1010" spans="1:6" ht="12" x14ac:dyDescent="0.2">
      <c r="A1010" s="65">
        <v>20107</v>
      </c>
      <c r="B1010" s="54" t="s">
        <v>372</v>
      </c>
      <c r="C1010" s="54" t="s">
        <v>373</v>
      </c>
      <c r="D1010" s="53" t="s">
        <v>3351</v>
      </c>
      <c r="E1010" s="54" t="s">
        <v>374</v>
      </c>
      <c r="F1010" s="54" t="s">
        <v>135</v>
      </c>
    </row>
    <row r="1011" spans="1:6" ht="12" x14ac:dyDescent="0.2">
      <c r="A1011" s="65">
        <v>20110</v>
      </c>
      <c r="B1011" s="54" t="s">
        <v>213</v>
      </c>
      <c r="C1011" s="54" t="s">
        <v>3446</v>
      </c>
      <c r="D1011" s="53" t="s">
        <v>3447</v>
      </c>
      <c r="E1011" s="54" t="s">
        <v>213</v>
      </c>
      <c r="F1011" s="54" t="s">
        <v>108</v>
      </c>
    </row>
    <row r="1012" spans="1:6" ht="12" x14ac:dyDescent="0.2">
      <c r="A1012" s="65">
        <v>20153</v>
      </c>
      <c r="B1012" s="54" t="s">
        <v>1642</v>
      </c>
      <c r="C1012" s="54" t="s">
        <v>4341</v>
      </c>
      <c r="D1012" s="53" t="s">
        <v>4342</v>
      </c>
      <c r="E1012" s="54" t="s">
        <v>1643</v>
      </c>
      <c r="F1012" s="54" t="s">
        <v>239</v>
      </c>
    </row>
    <row r="1013" spans="1:6" ht="12" x14ac:dyDescent="0.2">
      <c r="A1013" s="65">
        <v>20154</v>
      </c>
      <c r="B1013" s="54" t="s">
        <v>1185</v>
      </c>
      <c r="C1013" s="54" t="s">
        <v>4343</v>
      </c>
      <c r="D1013" s="53" t="s">
        <v>4344</v>
      </c>
      <c r="E1013" s="54" t="s">
        <v>1185</v>
      </c>
      <c r="F1013" s="54" t="s">
        <v>108</v>
      </c>
    </row>
    <row r="1014" spans="1:6" ht="12" x14ac:dyDescent="0.2">
      <c r="A1014" s="65">
        <v>20161</v>
      </c>
      <c r="B1014" s="54" t="s">
        <v>1644</v>
      </c>
      <c r="C1014" s="54" t="s">
        <v>4345</v>
      </c>
      <c r="D1014" s="53" t="s">
        <v>4346</v>
      </c>
      <c r="E1014" s="54" t="s">
        <v>1645</v>
      </c>
      <c r="F1014" s="54" t="s">
        <v>378</v>
      </c>
    </row>
    <row r="1015" spans="1:6" ht="12" x14ac:dyDescent="0.2">
      <c r="A1015" s="65">
        <v>20162</v>
      </c>
      <c r="B1015" s="54" t="s">
        <v>1186</v>
      </c>
      <c r="C1015" s="54" t="s">
        <v>4347</v>
      </c>
      <c r="D1015" s="53" t="s">
        <v>2889</v>
      </c>
      <c r="E1015" s="54" t="s">
        <v>1052</v>
      </c>
      <c r="F1015" s="54" t="s">
        <v>97</v>
      </c>
    </row>
    <row r="1016" spans="1:6" ht="12" x14ac:dyDescent="0.2">
      <c r="A1016" s="65">
        <v>20163</v>
      </c>
      <c r="B1016" s="54" t="s">
        <v>4348</v>
      </c>
      <c r="C1016" s="54" t="s">
        <v>4349</v>
      </c>
      <c r="D1016" s="53" t="s">
        <v>4350</v>
      </c>
      <c r="E1016" s="54" t="s">
        <v>913</v>
      </c>
      <c r="F1016" s="54" t="s">
        <v>38</v>
      </c>
    </row>
    <row r="1017" spans="1:6" ht="12" x14ac:dyDescent="0.2">
      <c r="A1017" s="65">
        <v>20211</v>
      </c>
      <c r="B1017" s="54" t="s">
        <v>1187</v>
      </c>
      <c r="C1017" s="54" t="s">
        <v>4351</v>
      </c>
      <c r="D1017" s="53" t="s">
        <v>4352</v>
      </c>
      <c r="E1017" s="54" t="s">
        <v>1187</v>
      </c>
      <c r="F1017" s="54" t="s">
        <v>80</v>
      </c>
    </row>
    <row r="1018" spans="1:6" ht="12" x14ac:dyDescent="0.2">
      <c r="A1018" s="65">
        <v>20220</v>
      </c>
      <c r="B1018" s="54" t="s">
        <v>375</v>
      </c>
      <c r="C1018" s="54" t="s">
        <v>376</v>
      </c>
      <c r="D1018" s="53" t="s">
        <v>4353</v>
      </c>
      <c r="E1018" s="54" t="s">
        <v>375</v>
      </c>
      <c r="F1018" s="54" t="s">
        <v>84</v>
      </c>
    </row>
    <row r="1019" spans="1:6" ht="12" x14ac:dyDescent="0.2">
      <c r="A1019" s="65">
        <v>20311</v>
      </c>
      <c r="B1019" s="54" t="s">
        <v>4354</v>
      </c>
      <c r="C1019" s="54" t="s">
        <v>4355</v>
      </c>
      <c r="D1019" s="53" t="s">
        <v>4356</v>
      </c>
      <c r="E1019" s="54" t="s">
        <v>4357</v>
      </c>
      <c r="F1019" s="54" t="s">
        <v>42</v>
      </c>
    </row>
    <row r="1020" spans="1:6" ht="12" x14ac:dyDescent="0.2">
      <c r="A1020" s="65">
        <v>20355</v>
      </c>
      <c r="B1020" s="54" t="s">
        <v>327</v>
      </c>
      <c r="C1020" s="54" t="s">
        <v>4358</v>
      </c>
      <c r="D1020" s="53" t="s">
        <v>4115</v>
      </c>
      <c r="E1020" s="54" t="s">
        <v>327</v>
      </c>
      <c r="F1020" s="54" t="s">
        <v>65</v>
      </c>
    </row>
    <row r="1021" spans="1:6" ht="12" x14ac:dyDescent="0.2">
      <c r="A1021" s="65">
        <v>20373</v>
      </c>
      <c r="B1021" s="54" t="s">
        <v>1947</v>
      </c>
      <c r="C1021" s="54" t="s">
        <v>4359</v>
      </c>
      <c r="D1021" s="53" t="s">
        <v>4219</v>
      </c>
      <c r="E1021" s="54" t="s">
        <v>680</v>
      </c>
      <c r="F1021" s="54" t="s">
        <v>171</v>
      </c>
    </row>
    <row r="1022" spans="1:6" ht="12" x14ac:dyDescent="0.2">
      <c r="A1022" s="65">
        <v>20449</v>
      </c>
      <c r="B1022" s="54" t="s">
        <v>1646</v>
      </c>
      <c r="C1022" s="54" t="s">
        <v>4360</v>
      </c>
      <c r="D1022" s="53" t="s">
        <v>2493</v>
      </c>
      <c r="E1022" s="54" t="s">
        <v>268</v>
      </c>
      <c r="F1022" s="54" t="s">
        <v>84</v>
      </c>
    </row>
    <row r="1023" spans="1:6" ht="12" x14ac:dyDescent="0.2">
      <c r="A1023" s="65">
        <v>20465</v>
      </c>
      <c r="B1023" s="54" t="s">
        <v>377</v>
      </c>
      <c r="C1023" s="54" t="s">
        <v>4361</v>
      </c>
      <c r="D1023" s="53" t="s">
        <v>4362</v>
      </c>
      <c r="E1023" s="54" t="s">
        <v>377</v>
      </c>
      <c r="F1023" s="54" t="s">
        <v>378</v>
      </c>
    </row>
    <row r="1024" spans="1:6" ht="12" x14ac:dyDescent="0.2">
      <c r="A1024" s="65">
        <v>20500</v>
      </c>
      <c r="B1024" s="54" t="s">
        <v>1647</v>
      </c>
      <c r="C1024" s="54" t="s">
        <v>4363</v>
      </c>
      <c r="D1024" s="53" t="s">
        <v>4364</v>
      </c>
      <c r="E1024" s="54" t="s">
        <v>1648</v>
      </c>
      <c r="F1024" s="54" t="s">
        <v>285</v>
      </c>
    </row>
    <row r="1025" spans="1:6" ht="12" x14ac:dyDescent="0.2">
      <c r="A1025" s="65">
        <v>20501</v>
      </c>
      <c r="B1025" s="54" t="s">
        <v>1649</v>
      </c>
      <c r="C1025" s="54" t="s">
        <v>1650</v>
      </c>
      <c r="D1025" s="53" t="s">
        <v>4365</v>
      </c>
      <c r="E1025" s="54" t="s">
        <v>1651</v>
      </c>
      <c r="F1025" s="54" t="s">
        <v>51</v>
      </c>
    </row>
    <row r="1026" spans="1:6" ht="12" x14ac:dyDescent="0.2">
      <c r="A1026" s="65">
        <v>20570</v>
      </c>
      <c r="B1026" s="54" t="s">
        <v>1188</v>
      </c>
      <c r="C1026" s="54" t="s">
        <v>4367</v>
      </c>
      <c r="D1026" s="53" t="s">
        <v>4368</v>
      </c>
      <c r="E1026" s="54" t="s">
        <v>158</v>
      </c>
      <c r="F1026" s="54" t="s">
        <v>158</v>
      </c>
    </row>
    <row r="1027" spans="1:6" ht="12" x14ac:dyDescent="0.2">
      <c r="A1027" s="65">
        <v>20599</v>
      </c>
      <c r="B1027" s="54" t="s">
        <v>4369</v>
      </c>
      <c r="C1027" s="54" t="s">
        <v>4370</v>
      </c>
      <c r="D1027" s="53" t="s">
        <v>4371</v>
      </c>
      <c r="E1027" s="54" t="s">
        <v>4372</v>
      </c>
      <c r="F1027" s="54" t="s">
        <v>48</v>
      </c>
    </row>
    <row r="1028" spans="1:6" ht="12" x14ac:dyDescent="0.2">
      <c r="A1028" s="65">
        <v>20600</v>
      </c>
      <c r="B1028" s="54" t="s">
        <v>1189</v>
      </c>
      <c r="C1028" s="54" t="s">
        <v>4373</v>
      </c>
      <c r="D1028" s="53" t="s">
        <v>4374</v>
      </c>
      <c r="E1028" s="54" t="s">
        <v>4375</v>
      </c>
      <c r="F1028" s="54" t="s">
        <v>108</v>
      </c>
    </row>
    <row r="1029" spans="1:6" ht="12" x14ac:dyDescent="0.2">
      <c r="A1029" s="65">
        <v>20636</v>
      </c>
      <c r="B1029" s="54" t="s">
        <v>379</v>
      </c>
      <c r="C1029" s="54" t="s">
        <v>4376</v>
      </c>
      <c r="D1029" s="53" t="s">
        <v>4377</v>
      </c>
      <c r="E1029" s="54" t="s">
        <v>96</v>
      </c>
      <c r="F1029" s="54" t="s">
        <v>97</v>
      </c>
    </row>
    <row r="1030" spans="1:6" ht="12" x14ac:dyDescent="0.2">
      <c r="A1030" s="65">
        <v>20650</v>
      </c>
      <c r="B1030" s="54" t="s">
        <v>1652</v>
      </c>
      <c r="C1030" s="54" t="s">
        <v>4378</v>
      </c>
      <c r="D1030" s="53" t="s">
        <v>4379</v>
      </c>
      <c r="E1030" s="54" t="s">
        <v>1653</v>
      </c>
      <c r="F1030" s="54" t="s">
        <v>118</v>
      </c>
    </row>
    <row r="1031" spans="1:6" ht="12" x14ac:dyDescent="0.2">
      <c r="A1031" s="65">
        <v>20673</v>
      </c>
      <c r="B1031" s="54" t="s">
        <v>1190</v>
      </c>
      <c r="C1031" s="54" t="s">
        <v>4380</v>
      </c>
      <c r="D1031" s="53" t="s">
        <v>2944</v>
      </c>
      <c r="E1031" s="54" t="s">
        <v>375</v>
      </c>
      <c r="F1031" s="54" t="s">
        <v>84</v>
      </c>
    </row>
    <row r="1032" spans="1:6" ht="12" x14ac:dyDescent="0.2">
      <c r="A1032" s="65">
        <v>20717</v>
      </c>
      <c r="B1032" s="54" t="s">
        <v>1654</v>
      </c>
      <c r="C1032" s="54" t="s">
        <v>4381</v>
      </c>
      <c r="D1032" s="53" t="s">
        <v>4382</v>
      </c>
      <c r="E1032" s="54" t="s">
        <v>1655</v>
      </c>
      <c r="F1032" s="54" t="s">
        <v>51</v>
      </c>
    </row>
    <row r="1033" spans="1:6" ht="12" x14ac:dyDescent="0.2">
      <c r="A1033" s="65">
        <v>20718</v>
      </c>
      <c r="B1033" s="54" t="s">
        <v>4383</v>
      </c>
      <c r="C1033" s="54" t="s">
        <v>4384</v>
      </c>
      <c r="D1033" s="53" t="s">
        <v>4385</v>
      </c>
      <c r="E1033" s="54" t="s">
        <v>4386</v>
      </c>
      <c r="F1033" s="54" t="s">
        <v>65</v>
      </c>
    </row>
    <row r="1034" spans="1:6" ht="12" x14ac:dyDescent="0.2">
      <c r="A1034" s="65">
        <v>20736</v>
      </c>
      <c r="B1034" s="54" t="s">
        <v>1656</v>
      </c>
      <c r="C1034" s="54" t="s">
        <v>4387</v>
      </c>
      <c r="D1034" s="53" t="s">
        <v>2741</v>
      </c>
      <c r="E1034" s="54" t="s">
        <v>1657</v>
      </c>
      <c r="F1034" s="54" t="s">
        <v>37</v>
      </c>
    </row>
    <row r="1035" spans="1:6" ht="12" x14ac:dyDescent="0.2">
      <c r="A1035" s="65">
        <v>20752</v>
      </c>
      <c r="B1035" s="54" t="s">
        <v>1191</v>
      </c>
      <c r="C1035" s="54" t="s">
        <v>4388</v>
      </c>
      <c r="D1035" s="53" t="s">
        <v>3702</v>
      </c>
      <c r="E1035" s="54" t="s">
        <v>255</v>
      </c>
      <c r="F1035" s="54" t="s">
        <v>82</v>
      </c>
    </row>
    <row r="1036" spans="1:6" ht="12" x14ac:dyDescent="0.2">
      <c r="A1036" s="65">
        <v>20776</v>
      </c>
      <c r="B1036" s="54" t="s">
        <v>4389</v>
      </c>
      <c r="C1036" s="54" t="s">
        <v>4390</v>
      </c>
      <c r="D1036" s="59" t="s">
        <v>4243</v>
      </c>
      <c r="E1036" s="54" t="s">
        <v>1658</v>
      </c>
      <c r="F1036" s="54" t="s">
        <v>887</v>
      </c>
    </row>
    <row r="1037" spans="1:6" ht="12" x14ac:dyDescent="0.2">
      <c r="A1037" s="65">
        <v>20790</v>
      </c>
      <c r="B1037" s="54" t="s">
        <v>1893</v>
      </c>
      <c r="C1037" s="54" t="s">
        <v>4391</v>
      </c>
      <c r="D1037" s="53" t="s">
        <v>4392</v>
      </c>
      <c r="E1037" s="54" t="s">
        <v>1893</v>
      </c>
      <c r="F1037" s="54" t="s">
        <v>177</v>
      </c>
    </row>
    <row r="1038" spans="1:6" ht="12" x14ac:dyDescent="0.2">
      <c r="A1038" s="65">
        <v>20792</v>
      </c>
      <c r="B1038" s="54" t="s">
        <v>1192</v>
      </c>
      <c r="C1038" s="54" t="s">
        <v>4393</v>
      </c>
      <c r="D1038" s="53" t="s">
        <v>2933</v>
      </c>
      <c r="E1038" s="54" t="s">
        <v>37</v>
      </c>
      <c r="F1038" s="54" t="s">
        <v>37</v>
      </c>
    </row>
    <row r="1039" spans="1:6" ht="12" x14ac:dyDescent="0.2">
      <c r="A1039" s="65">
        <v>20822</v>
      </c>
      <c r="B1039" s="54" t="s">
        <v>1948</v>
      </c>
      <c r="C1039" s="54" t="s">
        <v>4394</v>
      </c>
      <c r="D1039" s="53" t="s">
        <v>2863</v>
      </c>
      <c r="E1039" s="54" t="s">
        <v>1308</v>
      </c>
      <c r="F1039" s="54" t="s">
        <v>2505</v>
      </c>
    </row>
    <row r="1040" spans="1:6" ht="12" x14ac:dyDescent="0.2">
      <c r="A1040" s="65">
        <v>20832</v>
      </c>
      <c r="B1040" s="54" t="s">
        <v>1659</v>
      </c>
      <c r="C1040" s="54" t="s">
        <v>4395</v>
      </c>
      <c r="D1040" s="53" t="s">
        <v>4396</v>
      </c>
      <c r="E1040" s="54" t="s">
        <v>866</v>
      </c>
      <c r="F1040" s="54" t="s">
        <v>342</v>
      </c>
    </row>
    <row r="1041" spans="1:6" ht="12" x14ac:dyDescent="0.2">
      <c r="A1041" s="65">
        <v>20902</v>
      </c>
      <c r="B1041" s="54" t="s">
        <v>156</v>
      </c>
      <c r="C1041" s="54" t="s">
        <v>4397</v>
      </c>
      <c r="D1041" s="53" t="s">
        <v>2721</v>
      </c>
      <c r="E1041" s="54" t="s">
        <v>156</v>
      </c>
      <c r="F1041" s="54" t="s">
        <v>118</v>
      </c>
    </row>
    <row r="1042" spans="1:6" ht="12" x14ac:dyDescent="0.2">
      <c r="A1042" s="65">
        <v>20914</v>
      </c>
      <c r="B1042" s="54" t="s">
        <v>2123</v>
      </c>
      <c r="C1042" s="54" t="s">
        <v>4398</v>
      </c>
      <c r="D1042" s="53" t="s">
        <v>4399</v>
      </c>
      <c r="E1042" s="54" t="s">
        <v>2125</v>
      </c>
      <c r="F1042" s="54" t="s">
        <v>171</v>
      </c>
    </row>
    <row r="1043" spans="1:6" ht="12" x14ac:dyDescent="0.2">
      <c r="A1043" s="65">
        <v>20915</v>
      </c>
      <c r="B1043" s="54" t="s">
        <v>2117</v>
      </c>
      <c r="C1043" s="54" t="s">
        <v>4400</v>
      </c>
      <c r="D1043" s="53" t="s">
        <v>3790</v>
      </c>
      <c r="E1043" s="54" t="s">
        <v>2071</v>
      </c>
      <c r="F1043" s="54" t="s">
        <v>84</v>
      </c>
    </row>
    <row r="1044" spans="1:6" ht="12" x14ac:dyDescent="0.2">
      <c r="A1044" s="65">
        <v>20927</v>
      </c>
      <c r="B1044" s="54" t="s">
        <v>1193</v>
      </c>
      <c r="C1044" s="54" t="s">
        <v>4401</v>
      </c>
      <c r="D1044" s="53" t="s">
        <v>4402</v>
      </c>
      <c r="E1044" s="54" t="s">
        <v>1193</v>
      </c>
      <c r="F1044" s="54" t="s">
        <v>378</v>
      </c>
    </row>
    <row r="1045" spans="1:6" ht="12" x14ac:dyDescent="0.2">
      <c r="A1045" s="65">
        <v>20960</v>
      </c>
      <c r="B1045" s="54" t="s">
        <v>4403</v>
      </c>
      <c r="C1045" s="54" t="s">
        <v>4404</v>
      </c>
      <c r="D1045" s="53" t="s">
        <v>4405</v>
      </c>
      <c r="E1045" s="54" t="s">
        <v>125</v>
      </c>
      <c r="F1045" s="54" t="s">
        <v>118</v>
      </c>
    </row>
    <row r="1046" spans="1:6" ht="12" x14ac:dyDescent="0.2">
      <c r="A1046" s="65">
        <v>21015</v>
      </c>
      <c r="B1046" s="54" t="s">
        <v>1949</v>
      </c>
      <c r="C1046" s="54" t="s">
        <v>4406</v>
      </c>
      <c r="D1046" s="53" t="s">
        <v>4407</v>
      </c>
      <c r="E1046" s="54" t="s">
        <v>1950</v>
      </c>
      <c r="F1046" s="54" t="s">
        <v>171</v>
      </c>
    </row>
    <row r="1047" spans="1:6" ht="12" x14ac:dyDescent="0.2">
      <c r="A1047" s="65">
        <v>21020</v>
      </c>
      <c r="B1047" s="54" t="s">
        <v>1965</v>
      </c>
      <c r="C1047" s="54" t="s">
        <v>1966</v>
      </c>
      <c r="D1047" s="53" t="s">
        <v>4408</v>
      </c>
      <c r="E1047" s="54" t="s">
        <v>913</v>
      </c>
      <c r="F1047" s="54" t="s">
        <v>38</v>
      </c>
    </row>
    <row r="1048" spans="1:6" ht="12" x14ac:dyDescent="0.2">
      <c r="A1048" s="65">
        <v>21073</v>
      </c>
      <c r="B1048" s="54" t="s">
        <v>380</v>
      </c>
      <c r="C1048" s="54" t="s">
        <v>381</v>
      </c>
      <c r="D1048" s="53" t="s">
        <v>3934</v>
      </c>
      <c r="E1048" s="54" t="s">
        <v>39</v>
      </c>
      <c r="F1048" s="54" t="s">
        <v>116</v>
      </c>
    </row>
    <row r="1049" spans="1:6" ht="12" x14ac:dyDescent="0.2">
      <c r="A1049" s="65">
        <v>21093</v>
      </c>
      <c r="B1049" s="54" t="s">
        <v>1660</v>
      </c>
      <c r="C1049" s="54" t="s">
        <v>4409</v>
      </c>
      <c r="D1049" s="53" t="s">
        <v>4410</v>
      </c>
      <c r="E1049" s="54" t="s">
        <v>1660</v>
      </c>
      <c r="F1049" s="54" t="s">
        <v>251</v>
      </c>
    </row>
    <row r="1050" spans="1:6" ht="12" x14ac:dyDescent="0.2">
      <c r="A1050" s="65">
        <v>21220</v>
      </c>
      <c r="B1050" s="54" t="s">
        <v>1661</v>
      </c>
      <c r="C1050" s="54" t="s">
        <v>1662</v>
      </c>
      <c r="D1050" s="53" t="s">
        <v>3564</v>
      </c>
      <c r="E1050" s="54" t="s">
        <v>1485</v>
      </c>
      <c r="F1050" s="54" t="s">
        <v>84</v>
      </c>
    </row>
    <row r="1051" spans="1:6" ht="12" x14ac:dyDescent="0.2">
      <c r="A1051" s="65">
        <v>21275</v>
      </c>
      <c r="B1051" s="54" t="s">
        <v>4411</v>
      </c>
      <c r="C1051" s="54" t="s">
        <v>4412</v>
      </c>
      <c r="D1051" s="53" t="s">
        <v>4413</v>
      </c>
      <c r="E1051" s="54" t="s">
        <v>191</v>
      </c>
      <c r="F1051" s="54" t="s">
        <v>84</v>
      </c>
    </row>
    <row r="1052" spans="1:6" ht="12" x14ac:dyDescent="0.2">
      <c r="A1052" s="65">
        <v>21280</v>
      </c>
      <c r="B1052" s="54" t="s">
        <v>1894</v>
      </c>
      <c r="C1052" s="54" t="s">
        <v>4414</v>
      </c>
      <c r="D1052" s="53" t="s">
        <v>2574</v>
      </c>
      <c r="E1052" s="54" t="s">
        <v>116</v>
      </c>
      <c r="F1052" s="54" t="s">
        <v>116</v>
      </c>
    </row>
    <row r="1053" spans="1:6" ht="12" x14ac:dyDescent="0.2">
      <c r="A1053" s="65">
        <v>21290</v>
      </c>
      <c r="B1053" s="54" t="s">
        <v>1663</v>
      </c>
      <c r="C1053" s="54" t="s">
        <v>1664</v>
      </c>
      <c r="D1053" s="53" t="s">
        <v>2859</v>
      </c>
      <c r="E1053" s="54" t="s">
        <v>1045</v>
      </c>
      <c r="F1053" s="54" t="s">
        <v>108</v>
      </c>
    </row>
    <row r="1054" spans="1:6" ht="12" x14ac:dyDescent="0.2">
      <c r="A1054" s="65">
        <v>21326</v>
      </c>
      <c r="B1054" s="54" t="s">
        <v>4415</v>
      </c>
      <c r="C1054" s="54" t="s">
        <v>4416</v>
      </c>
      <c r="D1054" s="53" t="s">
        <v>4417</v>
      </c>
      <c r="E1054" s="54" t="s">
        <v>4418</v>
      </c>
      <c r="F1054" s="54" t="s">
        <v>42</v>
      </c>
    </row>
    <row r="1055" spans="1:6" ht="12" x14ac:dyDescent="0.2">
      <c r="A1055" s="65">
        <v>21439</v>
      </c>
      <c r="B1055" s="54" t="s">
        <v>1665</v>
      </c>
      <c r="C1055" s="54" t="s">
        <v>1666</v>
      </c>
      <c r="D1055" s="53" t="s">
        <v>4419</v>
      </c>
      <c r="E1055" s="54" t="s">
        <v>1667</v>
      </c>
      <c r="F1055" s="54" t="s">
        <v>48</v>
      </c>
    </row>
    <row r="1056" spans="1:6" ht="12" x14ac:dyDescent="0.2">
      <c r="A1056" s="65">
        <v>21455</v>
      </c>
      <c r="B1056" s="54" t="s">
        <v>670</v>
      </c>
      <c r="C1056" s="54" t="s">
        <v>724</v>
      </c>
      <c r="D1056" s="53" t="s">
        <v>3852</v>
      </c>
      <c r="E1056" s="54" t="s">
        <v>670</v>
      </c>
      <c r="F1056" s="54" t="s">
        <v>116</v>
      </c>
    </row>
    <row r="1057" spans="1:6" ht="12" x14ac:dyDescent="0.2">
      <c r="A1057" s="65">
        <v>21520</v>
      </c>
      <c r="B1057" s="54" t="s">
        <v>1668</v>
      </c>
      <c r="C1057" s="54" t="s">
        <v>4420</v>
      </c>
      <c r="D1057" s="53" t="s">
        <v>4421</v>
      </c>
      <c r="E1057" s="54" t="s">
        <v>1669</v>
      </c>
      <c r="F1057" s="54" t="s">
        <v>89</v>
      </c>
    </row>
    <row r="1058" spans="1:6" ht="12" x14ac:dyDescent="0.2">
      <c r="A1058" s="65">
        <v>21530</v>
      </c>
      <c r="B1058" s="54" t="s">
        <v>1670</v>
      </c>
      <c r="C1058" s="54" t="s">
        <v>4422</v>
      </c>
      <c r="D1058" s="53" t="s">
        <v>4257</v>
      </c>
      <c r="E1058" s="54" t="s">
        <v>1670</v>
      </c>
      <c r="F1058" s="54" t="s">
        <v>887</v>
      </c>
    </row>
    <row r="1059" spans="1:6" ht="12" x14ac:dyDescent="0.2">
      <c r="A1059" s="65">
        <v>21580</v>
      </c>
      <c r="B1059" s="54" t="s">
        <v>1671</v>
      </c>
      <c r="C1059" s="54" t="s">
        <v>1672</v>
      </c>
      <c r="D1059" s="53" t="s">
        <v>3621</v>
      </c>
      <c r="E1059" s="54" t="s">
        <v>84</v>
      </c>
      <c r="F1059" s="54" t="s">
        <v>84</v>
      </c>
    </row>
    <row r="1060" spans="1:6" ht="12" x14ac:dyDescent="0.2">
      <c r="A1060" s="65">
        <v>21610</v>
      </c>
      <c r="B1060" s="54" t="s">
        <v>1673</v>
      </c>
      <c r="C1060" s="54" t="s">
        <v>4423</v>
      </c>
      <c r="D1060" s="53" t="s">
        <v>3468</v>
      </c>
      <c r="E1060" s="54" t="s">
        <v>244</v>
      </c>
      <c r="F1060" s="54" t="s">
        <v>37</v>
      </c>
    </row>
    <row r="1061" spans="1:6" ht="12" x14ac:dyDescent="0.2">
      <c r="A1061" s="65">
        <v>21618</v>
      </c>
      <c r="B1061" s="54" t="s">
        <v>1194</v>
      </c>
      <c r="C1061" s="54" t="s">
        <v>4424</v>
      </c>
      <c r="D1061" s="53" t="s">
        <v>2645</v>
      </c>
      <c r="E1061" s="54" t="s">
        <v>117</v>
      </c>
      <c r="F1061" s="54" t="s">
        <v>118</v>
      </c>
    </row>
    <row r="1062" spans="1:6" ht="12" x14ac:dyDescent="0.2">
      <c r="A1062" s="65">
        <v>21691</v>
      </c>
      <c r="B1062" s="54" t="s">
        <v>1674</v>
      </c>
      <c r="C1062" s="54" t="s">
        <v>4425</v>
      </c>
      <c r="D1062" s="53" t="s">
        <v>4426</v>
      </c>
      <c r="E1062" s="54" t="s">
        <v>1675</v>
      </c>
      <c r="F1062" s="54" t="s">
        <v>145</v>
      </c>
    </row>
    <row r="1063" spans="1:6" ht="12" x14ac:dyDescent="0.2">
      <c r="A1063" s="65">
        <v>21700</v>
      </c>
      <c r="B1063" s="54" t="s">
        <v>1676</v>
      </c>
      <c r="C1063" s="54" t="s">
        <v>1677</v>
      </c>
      <c r="D1063" s="53" t="s">
        <v>2853</v>
      </c>
      <c r="E1063" s="54" t="s">
        <v>1044</v>
      </c>
      <c r="F1063" s="54" t="s">
        <v>42</v>
      </c>
    </row>
    <row r="1064" spans="1:6" ht="12" x14ac:dyDescent="0.2">
      <c r="A1064" s="65">
        <v>21705</v>
      </c>
      <c r="B1064" s="54" t="s">
        <v>4427</v>
      </c>
      <c r="C1064" s="54" t="s">
        <v>4428</v>
      </c>
      <c r="D1064" s="53" t="s">
        <v>4429</v>
      </c>
      <c r="E1064" s="54" t="s">
        <v>4430</v>
      </c>
      <c r="F1064" s="54" t="s">
        <v>145</v>
      </c>
    </row>
    <row r="1065" spans="1:6" ht="12" x14ac:dyDescent="0.2">
      <c r="A1065" s="65">
        <v>21740</v>
      </c>
      <c r="B1065" s="54" t="s">
        <v>1678</v>
      </c>
      <c r="C1065" s="54" t="s">
        <v>1679</v>
      </c>
      <c r="D1065" s="53" t="s">
        <v>4431</v>
      </c>
      <c r="E1065" s="54" t="s">
        <v>1680</v>
      </c>
      <c r="F1065" s="54" t="s">
        <v>82</v>
      </c>
    </row>
    <row r="1066" spans="1:6" ht="12" x14ac:dyDescent="0.2">
      <c r="A1066" s="65">
        <v>21771</v>
      </c>
      <c r="B1066" s="54" t="s">
        <v>4432</v>
      </c>
      <c r="C1066" s="54" t="s">
        <v>4433</v>
      </c>
      <c r="D1066" s="53" t="s">
        <v>3059</v>
      </c>
      <c r="E1066" s="54" t="s">
        <v>621</v>
      </c>
      <c r="F1066" s="54" t="s">
        <v>84</v>
      </c>
    </row>
    <row r="1067" spans="1:6" ht="12" x14ac:dyDescent="0.2">
      <c r="A1067" s="65">
        <v>21801</v>
      </c>
      <c r="B1067" s="54" t="s">
        <v>4434</v>
      </c>
      <c r="C1067" s="54" t="s">
        <v>1681</v>
      </c>
      <c r="D1067" s="53" t="s">
        <v>4435</v>
      </c>
      <c r="E1067" s="54" t="s">
        <v>36</v>
      </c>
      <c r="F1067" s="54" t="s">
        <v>36</v>
      </c>
    </row>
    <row r="1068" spans="1:6" ht="12" x14ac:dyDescent="0.2">
      <c r="A1068" s="65">
        <v>21832</v>
      </c>
      <c r="B1068" s="54" t="s">
        <v>4436</v>
      </c>
      <c r="C1068" s="54" t="s">
        <v>2136</v>
      </c>
      <c r="D1068" s="53" t="s">
        <v>2683</v>
      </c>
      <c r="E1068" s="54" t="s">
        <v>871</v>
      </c>
      <c r="F1068" s="54" t="s">
        <v>48</v>
      </c>
    </row>
    <row r="1069" spans="1:6" ht="12" x14ac:dyDescent="0.2">
      <c r="A1069" s="65">
        <v>21860</v>
      </c>
      <c r="B1069" s="54" t="s">
        <v>725</v>
      </c>
      <c r="C1069" s="54" t="s">
        <v>726</v>
      </c>
      <c r="D1069" s="53" t="s">
        <v>4209</v>
      </c>
      <c r="E1069" s="54" t="s">
        <v>154</v>
      </c>
      <c r="F1069" s="54" t="s">
        <v>154</v>
      </c>
    </row>
    <row r="1070" spans="1:6" ht="12" x14ac:dyDescent="0.2">
      <c r="A1070" s="65">
        <v>21866</v>
      </c>
      <c r="B1070" s="54" t="s">
        <v>4437</v>
      </c>
      <c r="C1070" s="54" t="s">
        <v>4438</v>
      </c>
      <c r="D1070" s="53" t="s">
        <v>3274</v>
      </c>
      <c r="E1070" s="54" t="s">
        <v>191</v>
      </c>
      <c r="F1070" s="54" t="s">
        <v>84</v>
      </c>
    </row>
    <row r="1071" spans="1:6" ht="12" x14ac:dyDescent="0.2">
      <c r="A1071" s="65">
        <v>21881</v>
      </c>
      <c r="B1071" s="54" t="s">
        <v>1962</v>
      </c>
      <c r="C1071" s="54" t="s">
        <v>1958</v>
      </c>
      <c r="D1071" s="53" t="s">
        <v>4439</v>
      </c>
      <c r="E1071" s="54" t="s">
        <v>1189</v>
      </c>
      <c r="F1071" s="54" t="s">
        <v>108</v>
      </c>
    </row>
    <row r="1072" spans="1:6" ht="12" x14ac:dyDescent="0.2">
      <c r="A1072" s="65">
        <v>21883</v>
      </c>
      <c r="B1072" s="54" t="s">
        <v>2105</v>
      </c>
      <c r="C1072" s="54" t="s">
        <v>4440</v>
      </c>
      <c r="D1072" s="53" t="s">
        <v>4441</v>
      </c>
      <c r="E1072" s="54" t="s">
        <v>2105</v>
      </c>
      <c r="F1072" s="54" t="s">
        <v>42</v>
      </c>
    </row>
    <row r="1073" spans="1:6" ht="12" x14ac:dyDescent="0.2">
      <c r="A1073" s="65">
        <v>21884</v>
      </c>
      <c r="B1073" s="54" t="s">
        <v>2098</v>
      </c>
      <c r="C1073" s="54" t="s">
        <v>4442</v>
      </c>
      <c r="D1073" s="53" t="s">
        <v>4443</v>
      </c>
      <c r="E1073" s="54" t="s">
        <v>1161</v>
      </c>
      <c r="F1073" s="54" t="s">
        <v>42</v>
      </c>
    </row>
    <row r="1074" spans="1:6" ht="12" x14ac:dyDescent="0.2">
      <c r="A1074" s="65">
        <v>21885</v>
      </c>
      <c r="B1074" s="54" t="s">
        <v>1963</v>
      </c>
      <c r="C1074" s="54" t="s">
        <v>2724</v>
      </c>
      <c r="D1074" s="53" t="s">
        <v>3934</v>
      </c>
      <c r="E1074" s="54" t="s">
        <v>39</v>
      </c>
      <c r="F1074" s="54" t="s">
        <v>116</v>
      </c>
    </row>
    <row r="1075" spans="1:6" ht="12" x14ac:dyDescent="0.2">
      <c r="A1075" s="65">
        <v>21887</v>
      </c>
      <c r="B1075" s="54" t="s">
        <v>4444</v>
      </c>
      <c r="C1075" s="54" t="s">
        <v>1958</v>
      </c>
      <c r="D1075" s="53" t="s">
        <v>3731</v>
      </c>
      <c r="E1075" s="54" t="s">
        <v>37</v>
      </c>
      <c r="F1075" s="54" t="s">
        <v>37</v>
      </c>
    </row>
    <row r="1076" spans="1:6" ht="12" x14ac:dyDescent="0.2">
      <c r="A1076" s="65">
        <v>21890</v>
      </c>
      <c r="B1076" s="54" t="s">
        <v>408</v>
      </c>
      <c r="C1076" s="54" t="s">
        <v>1682</v>
      </c>
      <c r="D1076" s="53" t="s">
        <v>4445</v>
      </c>
      <c r="E1076" s="54" t="s">
        <v>408</v>
      </c>
      <c r="F1076" s="54" t="s">
        <v>84</v>
      </c>
    </row>
    <row r="1077" spans="1:6" ht="12" x14ac:dyDescent="0.2">
      <c r="A1077" s="65">
        <v>21903</v>
      </c>
      <c r="B1077" s="54" t="s">
        <v>1994</v>
      </c>
      <c r="C1077" s="54" t="s">
        <v>1995</v>
      </c>
      <c r="D1077" s="53" t="s">
        <v>3345</v>
      </c>
      <c r="E1077" s="54" t="s">
        <v>324</v>
      </c>
      <c r="F1077" s="54" t="s">
        <v>2505</v>
      </c>
    </row>
    <row r="1078" spans="1:6" ht="12" x14ac:dyDescent="0.2">
      <c r="A1078" s="65">
        <v>21908</v>
      </c>
      <c r="B1078" s="54" t="s">
        <v>1924</v>
      </c>
      <c r="C1078" s="54" t="s">
        <v>4446</v>
      </c>
      <c r="D1078" s="53" t="s">
        <v>4447</v>
      </c>
      <c r="E1078" s="54" t="s">
        <v>174</v>
      </c>
      <c r="F1078" s="54" t="s">
        <v>174</v>
      </c>
    </row>
    <row r="1079" spans="1:6" ht="12" x14ac:dyDescent="0.2">
      <c r="A1079" s="65">
        <v>21925</v>
      </c>
      <c r="B1079" s="54" t="s">
        <v>1683</v>
      </c>
      <c r="C1079" s="54" t="s">
        <v>4448</v>
      </c>
      <c r="D1079" s="53" t="s">
        <v>4449</v>
      </c>
      <c r="E1079" s="54" t="s">
        <v>1684</v>
      </c>
      <c r="F1079" s="54" t="s">
        <v>239</v>
      </c>
    </row>
    <row r="1080" spans="1:6" ht="12" x14ac:dyDescent="0.2">
      <c r="A1080" s="65">
        <v>21972</v>
      </c>
      <c r="B1080" s="54" t="s">
        <v>1895</v>
      </c>
      <c r="C1080" s="54" t="s">
        <v>4450</v>
      </c>
      <c r="D1080" s="53" t="s">
        <v>4451</v>
      </c>
      <c r="E1080" s="54" t="s">
        <v>1896</v>
      </c>
      <c r="F1080" s="54" t="s">
        <v>332</v>
      </c>
    </row>
    <row r="1081" spans="1:6" ht="12" x14ac:dyDescent="0.2">
      <c r="A1081" s="65">
        <v>21980</v>
      </c>
      <c r="B1081" s="54" t="s">
        <v>4452</v>
      </c>
      <c r="C1081" s="54" t="s">
        <v>1685</v>
      </c>
      <c r="D1081" s="53" t="s">
        <v>4453</v>
      </c>
      <c r="E1081" s="54" t="s">
        <v>1686</v>
      </c>
      <c r="F1081" s="54" t="s">
        <v>285</v>
      </c>
    </row>
    <row r="1082" spans="1:6" ht="12" x14ac:dyDescent="0.2">
      <c r="A1082" s="65">
        <v>21990</v>
      </c>
      <c r="B1082" s="54" t="s">
        <v>1687</v>
      </c>
      <c r="C1082" s="54" t="s">
        <v>1688</v>
      </c>
      <c r="D1082" s="53" t="s">
        <v>4454</v>
      </c>
      <c r="E1082" s="54" t="s">
        <v>1689</v>
      </c>
      <c r="F1082" s="54" t="s">
        <v>37</v>
      </c>
    </row>
    <row r="1083" spans="1:6" ht="12" x14ac:dyDescent="0.2">
      <c r="A1083" s="65">
        <v>22039</v>
      </c>
      <c r="B1083" s="54" t="s">
        <v>4455</v>
      </c>
      <c r="C1083" s="54" t="s">
        <v>4456</v>
      </c>
      <c r="D1083" s="53" t="s">
        <v>4457</v>
      </c>
      <c r="E1083" s="54" t="s">
        <v>4458</v>
      </c>
      <c r="F1083" s="54" t="s">
        <v>149</v>
      </c>
    </row>
    <row r="1084" spans="1:6" ht="12" x14ac:dyDescent="0.2">
      <c r="A1084" s="65">
        <v>22075</v>
      </c>
      <c r="B1084" s="54" t="s">
        <v>1690</v>
      </c>
      <c r="C1084" s="54" t="s">
        <v>1691</v>
      </c>
      <c r="D1084" s="53" t="s">
        <v>4459</v>
      </c>
      <c r="E1084" s="54" t="s">
        <v>1692</v>
      </c>
      <c r="F1084" s="54" t="s">
        <v>84</v>
      </c>
    </row>
    <row r="1085" spans="1:6" ht="12" x14ac:dyDescent="0.2">
      <c r="A1085" s="65">
        <v>22078</v>
      </c>
      <c r="B1085" s="54" t="s">
        <v>2052</v>
      </c>
      <c r="C1085" s="54" t="s">
        <v>2053</v>
      </c>
      <c r="D1085" s="53" t="s">
        <v>4460</v>
      </c>
      <c r="E1085" s="54" t="s">
        <v>2052</v>
      </c>
      <c r="F1085" s="54" t="s">
        <v>84</v>
      </c>
    </row>
    <row r="1086" spans="1:6" ht="12" x14ac:dyDescent="0.2">
      <c r="A1086" s="65">
        <v>22079</v>
      </c>
      <c r="B1086" s="54" t="s">
        <v>1693</v>
      </c>
      <c r="C1086" s="54" t="s">
        <v>1694</v>
      </c>
      <c r="D1086" s="53" t="s">
        <v>4461</v>
      </c>
      <c r="E1086" s="54" t="s">
        <v>1607</v>
      </c>
      <c r="F1086" s="54" t="s">
        <v>84</v>
      </c>
    </row>
    <row r="1087" spans="1:6" ht="12" x14ac:dyDescent="0.2">
      <c r="A1087" s="65">
        <v>22080</v>
      </c>
      <c r="B1087" s="54" t="s">
        <v>1695</v>
      </c>
      <c r="C1087" s="54" t="s">
        <v>1696</v>
      </c>
      <c r="D1087" s="53" t="s">
        <v>4462</v>
      </c>
      <c r="E1087" s="54" t="s">
        <v>36</v>
      </c>
      <c r="F1087" s="54" t="s">
        <v>36</v>
      </c>
    </row>
    <row r="1088" spans="1:6" ht="12" x14ac:dyDescent="0.2">
      <c r="A1088" s="65">
        <v>22081</v>
      </c>
      <c r="B1088" s="54" t="s">
        <v>1697</v>
      </c>
      <c r="C1088" s="54" t="s">
        <v>1698</v>
      </c>
      <c r="D1088" s="53" t="s">
        <v>2905</v>
      </c>
      <c r="E1088" s="54" t="s">
        <v>556</v>
      </c>
      <c r="F1088" s="54" t="s">
        <v>171</v>
      </c>
    </row>
    <row r="1089" spans="1:6" ht="12" x14ac:dyDescent="0.2">
      <c r="A1089" s="65">
        <v>22082</v>
      </c>
      <c r="B1089" s="54" t="s">
        <v>1699</v>
      </c>
      <c r="C1089" s="54" t="s">
        <v>1700</v>
      </c>
      <c r="D1089" s="53" t="s">
        <v>2587</v>
      </c>
      <c r="E1089" s="54" t="s">
        <v>778</v>
      </c>
      <c r="F1089" s="54" t="s">
        <v>80</v>
      </c>
    </row>
    <row r="1090" spans="1:6" ht="12" x14ac:dyDescent="0.2">
      <c r="A1090" s="65">
        <v>22084</v>
      </c>
      <c r="B1090" s="54" t="s">
        <v>1701</v>
      </c>
      <c r="C1090" s="54" t="s">
        <v>1702</v>
      </c>
      <c r="D1090" s="53" t="s">
        <v>2966</v>
      </c>
      <c r="E1090" s="54" t="s">
        <v>36</v>
      </c>
      <c r="F1090" s="54" t="s">
        <v>36</v>
      </c>
    </row>
    <row r="1091" spans="1:6" ht="12" x14ac:dyDescent="0.2">
      <c r="A1091" s="65">
        <v>22093</v>
      </c>
      <c r="B1091" s="54" t="s">
        <v>1703</v>
      </c>
      <c r="C1091" s="54" t="s">
        <v>4463</v>
      </c>
      <c r="D1091" s="53" t="s">
        <v>4464</v>
      </c>
      <c r="E1091" s="54" t="s">
        <v>1704</v>
      </c>
      <c r="F1091" s="54" t="s">
        <v>49</v>
      </c>
    </row>
    <row r="1092" spans="1:6" ht="12" x14ac:dyDescent="0.2">
      <c r="A1092" s="65">
        <v>22094</v>
      </c>
      <c r="B1092" s="54" t="s">
        <v>1897</v>
      </c>
      <c r="C1092" s="54" t="s">
        <v>4465</v>
      </c>
      <c r="D1092" s="53" t="s">
        <v>4466</v>
      </c>
      <c r="E1092" s="54" t="s">
        <v>154</v>
      </c>
      <c r="F1092" s="54" t="s">
        <v>154</v>
      </c>
    </row>
    <row r="1093" spans="1:6" ht="12" x14ac:dyDescent="0.2">
      <c r="A1093" s="65">
        <v>22097</v>
      </c>
      <c r="B1093" s="54" t="s">
        <v>2038</v>
      </c>
      <c r="C1093" s="54" t="s">
        <v>4467</v>
      </c>
      <c r="D1093" s="53" t="s">
        <v>4468</v>
      </c>
      <c r="E1093" s="54" t="s">
        <v>913</v>
      </c>
      <c r="F1093" s="54" t="s">
        <v>38</v>
      </c>
    </row>
    <row r="1094" spans="1:6" ht="12" x14ac:dyDescent="0.2">
      <c r="A1094" s="65">
        <v>22098</v>
      </c>
      <c r="B1094" s="54" t="s">
        <v>2051</v>
      </c>
      <c r="C1094" s="54" t="s">
        <v>4469</v>
      </c>
      <c r="D1094" s="53" t="s">
        <v>4470</v>
      </c>
      <c r="E1094" s="54" t="s">
        <v>2051</v>
      </c>
      <c r="F1094" s="54" t="s">
        <v>50</v>
      </c>
    </row>
    <row r="1095" spans="1:6" ht="12" x14ac:dyDescent="0.2">
      <c r="A1095" s="65">
        <v>22099</v>
      </c>
      <c r="B1095" s="54" t="s">
        <v>1705</v>
      </c>
      <c r="C1095" s="54" t="s">
        <v>1706</v>
      </c>
      <c r="D1095" s="53" t="s">
        <v>4471</v>
      </c>
      <c r="E1095" s="54" t="s">
        <v>152</v>
      </c>
      <c r="F1095" s="54" t="s">
        <v>152</v>
      </c>
    </row>
    <row r="1096" spans="1:6" ht="12" x14ac:dyDescent="0.2">
      <c r="A1096" s="65">
        <v>22100</v>
      </c>
      <c r="B1096" s="54" t="s">
        <v>1707</v>
      </c>
      <c r="C1096" s="54" t="s">
        <v>4472</v>
      </c>
      <c r="D1096" s="53" t="s">
        <v>4473</v>
      </c>
      <c r="E1096" s="54" t="s">
        <v>1708</v>
      </c>
      <c r="F1096" s="54" t="s">
        <v>37</v>
      </c>
    </row>
    <row r="1097" spans="1:6" ht="12" x14ac:dyDescent="0.2">
      <c r="A1097" s="65">
        <v>22101</v>
      </c>
      <c r="B1097" s="54" t="s">
        <v>2050</v>
      </c>
      <c r="C1097" s="54" t="s">
        <v>4474</v>
      </c>
      <c r="D1097" s="53" t="s">
        <v>4475</v>
      </c>
      <c r="E1097" s="54" t="s">
        <v>50</v>
      </c>
      <c r="F1097" s="54" t="s">
        <v>50</v>
      </c>
    </row>
    <row r="1098" spans="1:6" ht="12" x14ac:dyDescent="0.2">
      <c r="A1098" s="65">
        <v>22103</v>
      </c>
      <c r="B1098" s="54" t="s">
        <v>1898</v>
      </c>
      <c r="C1098" s="54" t="s">
        <v>4476</v>
      </c>
      <c r="D1098" s="53" t="s">
        <v>4477</v>
      </c>
      <c r="E1098" s="54" t="s">
        <v>1899</v>
      </c>
      <c r="F1098" s="54" t="s">
        <v>342</v>
      </c>
    </row>
    <row r="1099" spans="1:6" ht="12" x14ac:dyDescent="0.2">
      <c r="A1099" s="65">
        <v>22107</v>
      </c>
      <c r="B1099" s="54" t="s">
        <v>2046</v>
      </c>
      <c r="C1099" s="54" t="s">
        <v>4478</v>
      </c>
      <c r="D1099" s="53" t="s">
        <v>2442</v>
      </c>
      <c r="E1099" s="54" t="s">
        <v>1220</v>
      </c>
      <c r="F1099" s="54" t="s">
        <v>207</v>
      </c>
    </row>
    <row r="1100" spans="1:6" ht="12" x14ac:dyDescent="0.2">
      <c r="A1100" s="65">
        <v>22108</v>
      </c>
      <c r="B1100" s="54" t="s">
        <v>4479</v>
      </c>
      <c r="C1100" s="54" t="s">
        <v>4480</v>
      </c>
      <c r="D1100" s="53" t="s">
        <v>3204</v>
      </c>
      <c r="E1100" s="54" t="s">
        <v>180</v>
      </c>
      <c r="F1100" s="54" t="s">
        <v>171</v>
      </c>
    </row>
    <row r="1101" spans="1:6" ht="12" x14ac:dyDescent="0.2">
      <c r="A1101" s="65">
        <v>22109</v>
      </c>
      <c r="B1101" s="54" t="s">
        <v>4481</v>
      </c>
      <c r="C1101" s="54" t="s">
        <v>4482</v>
      </c>
      <c r="D1101" s="53" t="s">
        <v>4483</v>
      </c>
      <c r="E1101" s="54" t="s">
        <v>4484</v>
      </c>
      <c r="F1101" s="54" t="s">
        <v>80</v>
      </c>
    </row>
    <row r="1102" spans="1:6" ht="12" x14ac:dyDescent="0.2">
      <c r="A1102" s="65">
        <v>22112</v>
      </c>
      <c r="B1102" s="54" t="s">
        <v>4485</v>
      </c>
      <c r="C1102" s="54" t="s">
        <v>4486</v>
      </c>
      <c r="D1102" s="53" t="s">
        <v>3499</v>
      </c>
      <c r="E1102" s="54" t="s">
        <v>1097</v>
      </c>
      <c r="F1102" s="54" t="s">
        <v>211</v>
      </c>
    </row>
    <row r="1103" spans="1:6" ht="12" x14ac:dyDescent="0.2">
      <c r="A1103" s="65">
        <v>22118</v>
      </c>
      <c r="B1103" s="54" t="s">
        <v>4487</v>
      </c>
      <c r="C1103" s="54" t="s">
        <v>4488</v>
      </c>
      <c r="D1103" s="53" t="s">
        <v>3621</v>
      </c>
      <c r="E1103" s="54" t="s">
        <v>84</v>
      </c>
      <c r="F1103" s="54" t="s">
        <v>84</v>
      </c>
    </row>
    <row r="1104" spans="1:6" ht="12" x14ac:dyDescent="0.2">
      <c r="A1104" s="65">
        <v>22200</v>
      </c>
      <c r="B1104" s="54" t="s">
        <v>1900</v>
      </c>
      <c r="C1104" s="54" t="s">
        <v>4489</v>
      </c>
      <c r="D1104" s="53" t="s">
        <v>4490</v>
      </c>
      <c r="E1104" s="54" t="s">
        <v>4491</v>
      </c>
      <c r="F1104" s="54" t="s">
        <v>38</v>
      </c>
    </row>
    <row r="1105" spans="1:6" ht="12" x14ac:dyDescent="0.2">
      <c r="A1105" s="65">
        <v>22201</v>
      </c>
      <c r="B1105" s="54" t="s">
        <v>1901</v>
      </c>
      <c r="C1105" s="54" t="s">
        <v>4492</v>
      </c>
      <c r="D1105" s="53" t="s">
        <v>4493</v>
      </c>
      <c r="E1105" s="54" t="s">
        <v>4494</v>
      </c>
      <c r="F1105" s="54" t="s">
        <v>37</v>
      </c>
    </row>
    <row r="1106" spans="1:6" ht="12" x14ac:dyDescent="0.2">
      <c r="A1106" s="65">
        <v>22202</v>
      </c>
      <c r="B1106" s="54" t="s">
        <v>4495</v>
      </c>
      <c r="C1106" s="54" t="s">
        <v>4496</v>
      </c>
      <c r="D1106" s="53" t="s">
        <v>4497</v>
      </c>
      <c r="E1106" s="54" t="s">
        <v>4495</v>
      </c>
      <c r="F1106" s="54" t="s">
        <v>37</v>
      </c>
    </row>
    <row r="1107" spans="1:6" ht="12" x14ac:dyDescent="0.2">
      <c r="A1107" s="65">
        <v>22204</v>
      </c>
      <c r="B1107" s="54" t="s">
        <v>4498</v>
      </c>
      <c r="C1107" s="54" t="s">
        <v>4499</v>
      </c>
      <c r="D1107" s="53" t="s">
        <v>4500</v>
      </c>
      <c r="E1107" s="54" t="s">
        <v>4501</v>
      </c>
      <c r="F1107" s="54" t="s">
        <v>38</v>
      </c>
    </row>
    <row r="1108" spans="1:6" ht="12" x14ac:dyDescent="0.2">
      <c r="A1108" s="65">
        <v>22211</v>
      </c>
      <c r="B1108" s="54" t="s">
        <v>4502</v>
      </c>
      <c r="C1108" s="54" t="s">
        <v>4503</v>
      </c>
      <c r="D1108" s="53" t="s">
        <v>4504</v>
      </c>
      <c r="E1108" s="54" t="s">
        <v>4505</v>
      </c>
      <c r="F1108" s="54" t="s">
        <v>84</v>
      </c>
    </row>
    <row r="1109" spans="1:6" ht="12" x14ac:dyDescent="0.2">
      <c r="A1109" s="65">
        <v>22301</v>
      </c>
      <c r="B1109" s="54" t="s">
        <v>2061</v>
      </c>
      <c r="C1109" s="54" t="s">
        <v>4506</v>
      </c>
      <c r="D1109" s="53" t="s">
        <v>4507</v>
      </c>
      <c r="E1109" s="54" t="s">
        <v>2063</v>
      </c>
      <c r="F1109" s="54" t="s">
        <v>112</v>
      </c>
    </row>
    <row r="1110" spans="1:6" ht="12" x14ac:dyDescent="0.2">
      <c r="A1110" s="65">
        <v>22904</v>
      </c>
      <c r="B1110" s="54" t="s">
        <v>2075</v>
      </c>
      <c r="C1110" s="54" t="s">
        <v>4508</v>
      </c>
      <c r="D1110" s="53" t="s">
        <v>2975</v>
      </c>
      <c r="E1110" s="54" t="s">
        <v>4509</v>
      </c>
      <c r="F1110" s="54" t="s">
        <v>342</v>
      </c>
    </row>
    <row r="1111" spans="1:6" ht="12" x14ac:dyDescent="0.2">
      <c r="A1111" s="65">
        <v>22905</v>
      </c>
      <c r="B1111" s="54" t="s">
        <v>4510</v>
      </c>
      <c r="C1111" s="54" t="s">
        <v>4511</v>
      </c>
      <c r="D1111" s="53" t="s">
        <v>4512</v>
      </c>
      <c r="E1111" s="54" t="s">
        <v>4513</v>
      </c>
      <c r="F1111" s="54" t="s">
        <v>38</v>
      </c>
    </row>
    <row r="1112" spans="1:6" ht="12" x14ac:dyDescent="0.2">
      <c r="A1112" s="65">
        <v>22907</v>
      </c>
      <c r="B1112" s="54" t="s">
        <v>4514</v>
      </c>
      <c r="C1112" s="54" t="s">
        <v>4515</v>
      </c>
      <c r="D1112" s="53" t="s">
        <v>4471</v>
      </c>
      <c r="E1112" s="54" t="s">
        <v>152</v>
      </c>
      <c r="F1112" s="54" t="s">
        <v>152</v>
      </c>
    </row>
    <row r="1113" spans="1:6" ht="12" x14ac:dyDescent="0.2">
      <c r="A1113" s="65">
        <v>22908</v>
      </c>
      <c r="B1113" s="54" t="s">
        <v>4516</v>
      </c>
      <c r="C1113" s="54" t="s">
        <v>4517</v>
      </c>
      <c r="D1113" s="53" t="s">
        <v>4518</v>
      </c>
      <c r="E1113" s="54" t="s">
        <v>4516</v>
      </c>
      <c r="F1113" s="54" t="s">
        <v>123</v>
      </c>
    </row>
    <row r="1114" spans="1:6" ht="12" x14ac:dyDescent="0.2">
      <c r="A1114" s="65">
        <v>22912</v>
      </c>
      <c r="B1114" s="54" t="s">
        <v>4519</v>
      </c>
      <c r="C1114" s="54" t="s">
        <v>4520</v>
      </c>
      <c r="D1114" s="53" t="s">
        <v>4521</v>
      </c>
      <c r="E1114" s="54" t="s">
        <v>2131</v>
      </c>
      <c r="F1114" s="54" t="s">
        <v>211</v>
      </c>
    </row>
    <row r="1115" spans="1:6" ht="12" x14ac:dyDescent="0.2">
      <c r="A1115" s="65">
        <v>22913</v>
      </c>
      <c r="B1115" s="54" t="s">
        <v>4522</v>
      </c>
      <c r="C1115" s="54" t="s">
        <v>4523</v>
      </c>
      <c r="D1115" s="53" t="s">
        <v>4366</v>
      </c>
      <c r="E1115" s="54" t="s">
        <v>4524</v>
      </c>
      <c r="F1115" s="54" t="s">
        <v>378</v>
      </c>
    </row>
    <row r="1116" spans="1:6" ht="12" x14ac:dyDescent="0.2">
      <c r="A1116" s="65">
        <v>26044</v>
      </c>
      <c r="B1116" s="54" t="s">
        <v>1709</v>
      </c>
      <c r="C1116" s="54" t="s">
        <v>1710</v>
      </c>
      <c r="D1116" s="53" t="s">
        <v>2508</v>
      </c>
      <c r="E1116" s="54" t="s">
        <v>89</v>
      </c>
      <c r="F1116" s="54" t="s">
        <v>89</v>
      </c>
    </row>
    <row r="1117" spans="1:6" ht="12" x14ac:dyDescent="0.2">
      <c r="A1117" s="65">
        <v>26046</v>
      </c>
      <c r="B1117" s="54" t="s">
        <v>1195</v>
      </c>
      <c r="C1117" s="54" t="s">
        <v>4525</v>
      </c>
      <c r="D1117" s="53" t="s">
        <v>4526</v>
      </c>
      <c r="E1117" s="54" t="s">
        <v>1195</v>
      </c>
      <c r="F1117" s="54" t="s">
        <v>108</v>
      </c>
    </row>
    <row r="1118" spans="1:6" ht="12" x14ac:dyDescent="0.2">
      <c r="A1118" s="65">
        <v>26057</v>
      </c>
      <c r="B1118" s="54" t="s">
        <v>1711</v>
      </c>
      <c r="C1118" s="54" t="s">
        <v>4527</v>
      </c>
      <c r="D1118" s="60" t="s">
        <v>3575</v>
      </c>
      <c r="E1118" s="54" t="s">
        <v>1712</v>
      </c>
      <c r="F1118" s="54" t="s">
        <v>42</v>
      </c>
    </row>
    <row r="1119" spans="1:6" ht="12" x14ac:dyDescent="0.2">
      <c r="A1119" s="67">
        <v>26058</v>
      </c>
      <c r="B1119" s="54" t="s">
        <v>1713</v>
      </c>
      <c r="C1119" s="54" t="s">
        <v>1714</v>
      </c>
      <c r="D1119" s="60" t="s">
        <v>4528</v>
      </c>
      <c r="E1119" s="54" t="s">
        <v>1715</v>
      </c>
      <c r="F1119" s="54" t="s">
        <v>332</v>
      </c>
    </row>
    <row r="1120" spans="1:6" ht="12" x14ac:dyDescent="0.2">
      <c r="A1120" s="67">
        <v>26063</v>
      </c>
      <c r="B1120" s="54" t="s">
        <v>1902</v>
      </c>
      <c r="C1120" s="54" t="s">
        <v>4529</v>
      </c>
      <c r="D1120" s="60" t="s">
        <v>4530</v>
      </c>
      <c r="E1120" s="54" t="s">
        <v>4531</v>
      </c>
      <c r="F1120" s="54" t="s">
        <v>38</v>
      </c>
    </row>
    <row r="1121" spans="1:6" ht="12" x14ac:dyDescent="0.2">
      <c r="A1121" s="67">
        <v>26066</v>
      </c>
      <c r="B1121" s="54" t="s">
        <v>1296</v>
      </c>
      <c r="C1121" s="54" t="s">
        <v>4532</v>
      </c>
      <c r="D1121" s="60" t="s">
        <v>3059</v>
      </c>
      <c r="E1121" s="54" t="s">
        <v>621</v>
      </c>
      <c r="F1121" s="54" t="s">
        <v>84</v>
      </c>
    </row>
    <row r="1122" spans="1:6" ht="12" x14ac:dyDescent="0.2">
      <c r="A1122" s="65">
        <v>26273</v>
      </c>
      <c r="B1122" s="54" t="s">
        <v>4357</v>
      </c>
      <c r="C1122" s="54" t="s">
        <v>4533</v>
      </c>
      <c r="D1122" s="53" t="s">
        <v>4356</v>
      </c>
      <c r="E1122" s="54" t="s">
        <v>4357</v>
      </c>
      <c r="F1122" s="54" t="s">
        <v>42</v>
      </c>
    </row>
    <row r="1123" spans="1:6" ht="12" x14ac:dyDescent="0.2">
      <c r="A1123" s="65">
        <v>26341</v>
      </c>
      <c r="B1123" s="54" t="s">
        <v>1716</v>
      </c>
      <c r="C1123" s="54" t="s">
        <v>1717</v>
      </c>
      <c r="D1123" s="53" t="s">
        <v>4534</v>
      </c>
      <c r="E1123" s="54" t="s">
        <v>392</v>
      </c>
      <c r="F1123" s="54" t="s">
        <v>342</v>
      </c>
    </row>
    <row r="1124" spans="1:6" ht="12" x14ac:dyDescent="0.2">
      <c r="A1124" s="65">
        <v>26396</v>
      </c>
      <c r="B1124" s="54" t="s">
        <v>1885</v>
      </c>
      <c r="C1124" s="54" t="s">
        <v>4535</v>
      </c>
      <c r="D1124" s="53" t="s">
        <v>4536</v>
      </c>
      <c r="E1124" s="54" t="s">
        <v>4537</v>
      </c>
      <c r="F1124" s="54" t="s">
        <v>42</v>
      </c>
    </row>
    <row r="1125" spans="1:6" ht="12" x14ac:dyDescent="0.2">
      <c r="A1125" s="65">
        <v>26427</v>
      </c>
      <c r="B1125" s="54" t="s">
        <v>4538</v>
      </c>
      <c r="C1125" s="54" t="s">
        <v>4539</v>
      </c>
      <c r="D1125" s="53" t="s">
        <v>4540</v>
      </c>
      <c r="E1125" s="54" t="s">
        <v>4541</v>
      </c>
      <c r="F1125" s="54" t="s">
        <v>42</v>
      </c>
    </row>
    <row r="1126" spans="1:6" ht="12" x14ac:dyDescent="0.2">
      <c r="A1126" s="65">
        <v>26478</v>
      </c>
      <c r="B1126" s="54" t="s">
        <v>2054</v>
      </c>
      <c r="C1126" s="54" t="s">
        <v>4542</v>
      </c>
      <c r="D1126" s="53" t="s">
        <v>3149</v>
      </c>
      <c r="E1126" s="54" t="s">
        <v>1083</v>
      </c>
      <c r="F1126" s="54" t="s">
        <v>84</v>
      </c>
    </row>
    <row r="1127" spans="1:6" ht="12" x14ac:dyDescent="0.2">
      <c r="A1127" s="65">
        <v>26489</v>
      </c>
      <c r="B1127" s="54" t="s">
        <v>2056</v>
      </c>
      <c r="C1127" s="54" t="s">
        <v>2057</v>
      </c>
      <c r="D1127" s="53" t="s">
        <v>4543</v>
      </c>
      <c r="E1127" s="54" t="s">
        <v>285</v>
      </c>
      <c r="F1127" s="54" t="s">
        <v>285</v>
      </c>
    </row>
    <row r="1128" spans="1:6" ht="12" x14ac:dyDescent="0.2">
      <c r="A1128" s="65">
        <v>26525</v>
      </c>
      <c r="B1128" s="54" t="s">
        <v>4544</v>
      </c>
      <c r="C1128" s="54" t="s">
        <v>4545</v>
      </c>
      <c r="D1128" s="53" t="s">
        <v>4466</v>
      </c>
      <c r="E1128" s="54" t="s">
        <v>154</v>
      </c>
      <c r="F1128" s="54" t="s">
        <v>154</v>
      </c>
    </row>
    <row r="1129" spans="1:6" ht="12" x14ac:dyDescent="0.2">
      <c r="A1129" s="65">
        <v>26535</v>
      </c>
      <c r="B1129" s="54" t="s">
        <v>1903</v>
      </c>
      <c r="C1129" s="54" t="s">
        <v>4546</v>
      </c>
      <c r="D1129" s="53" t="s">
        <v>4547</v>
      </c>
      <c r="E1129" s="54" t="s">
        <v>1363</v>
      </c>
      <c r="F1129" s="54" t="s">
        <v>342</v>
      </c>
    </row>
    <row r="1130" spans="1:6" ht="12" x14ac:dyDescent="0.2">
      <c r="A1130" s="66">
        <v>26633</v>
      </c>
      <c r="B1130" s="54" t="s">
        <v>2042</v>
      </c>
      <c r="C1130" s="54" t="s">
        <v>4548</v>
      </c>
      <c r="D1130" s="53" t="s">
        <v>4549</v>
      </c>
      <c r="E1130" s="54" t="s">
        <v>2043</v>
      </c>
      <c r="F1130" s="54" t="s">
        <v>42</v>
      </c>
    </row>
    <row r="1131" spans="1:6" ht="12" x14ac:dyDescent="0.2">
      <c r="A1131" s="65">
        <v>26680</v>
      </c>
      <c r="B1131" s="54" t="s">
        <v>1904</v>
      </c>
      <c r="C1131" s="54" t="s">
        <v>4550</v>
      </c>
      <c r="D1131" s="53" t="s">
        <v>4551</v>
      </c>
      <c r="E1131" s="54" t="s">
        <v>152</v>
      </c>
      <c r="F1131" s="54" t="s">
        <v>152</v>
      </c>
    </row>
    <row r="1132" spans="1:6" ht="12" x14ac:dyDescent="0.2">
      <c r="A1132" s="65">
        <v>26691</v>
      </c>
      <c r="B1132" s="54" t="s">
        <v>1905</v>
      </c>
      <c r="C1132" s="54" t="s">
        <v>4552</v>
      </c>
      <c r="D1132" s="53" t="s">
        <v>4553</v>
      </c>
      <c r="E1132" s="54" t="s">
        <v>1906</v>
      </c>
      <c r="F1132" s="54" t="s">
        <v>239</v>
      </c>
    </row>
    <row r="1133" spans="1:6" ht="12" x14ac:dyDescent="0.2">
      <c r="A1133" s="66">
        <v>26694</v>
      </c>
      <c r="B1133" s="54" t="s">
        <v>4554</v>
      </c>
      <c r="C1133" s="54" t="s">
        <v>4555</v>
      </c>
      <c r="D1133" s="53" t="s">
        <v>4556</v>
      </c>
      <c r="E1133" s="54" t="s">
        <v>4557</v>
      </c>
      <c r="F1133" s="54" t="s">
        <v>158</v>
      </c>
    </row>
    <row r="1134" spans="1:6" ht="12" x14ac:dyDescent="0.2">
      <c r="A1134" s="65">
        <v>26701</v>
      </c>
      <c r="B1134" s="54" t="s">
        <v>4558</v>
      </c>
      <c r="C1134" s="54" t="s">
        <v>4559</v>
      </c>
      <c r="D1134" s="53" t="s">
        <v>4560</v>
      </c>
      <c r="E1134" s="54" t="s">
        <v>332</v>
      </c>
      <c r="F1134" s="54" t="s">
        <v>332</v>
      </c>
    </row>
    <row r="1135" spans="1:6" ht="12" x14ac:dyDescent="0.2">
      <c r="A1135" s="65">
        <v>26742</v>
      </c>
      <c r="B1135" s="54" t="s">
        <v>2059</v>
      </c>
      <c r="C1135" s="54" t="s">
        <v>2060</v>
      </c>
      <c r="D1135" s="53" t="s">
        <v>2502</v>
      </c>
      <c r="E1135" s="54" t="s">
        <v>157</v>
      </c>
      <c r="F1135" s="54" t="s">
        <v>158</v>
      </c>
    </row>
    <row r="1136" spans="1:6" ht="12" x14ac:dyDescent="0.2">
      <c r="A1136" s="65">
        <v>27091</v>
      </c>
      <c r="B1136" s="54" t="s">
        <v>4561</v>
      </c>
      <c r="C1136" s="54" t="s">
        <v>4562</v>
      </c>
      <c r="D1136" s="53" t="s">
        <v>4563</v>
      </c>
      <c r="E1136" s="54" t="s">
        <v>4561</v>
      </c>
      <c r="F1136" s="54" t="s">
        <v>285</v>
      </c>
    </row>
    <row r="1137" spans="1:6" ht="12" x14ac:dyDescent="0.2">
      <c r="A1137" s="65">
        <v>27485</v>
      </c>
      <c r="B1137" s="54" t="s">
        <v>4564</v>
      </c>
      <c r="C1137" s="54" t="s">
        <v>4565</v>
      </c>
      <c r="D1137" s="53" t="s">
        <v>4566</v>
      </c>
      <c r="E1137" s="54" t="s">
        <v>4567</v>
      </c>
      <c r="F1137" s="54" t="s">
        <v>158</v>
      </c>
    </row>
    <row r="1138" spans="1:6" ht="12" x14ac:dyDescent="0.2">
      <c r="A1138" s="65">
        <v>31013</v>
      </c>
      <c r="B1138" s="54" t="s">
        <v>1718</v>
      </c>
      <c r="C1138" s="54" t="s">
        <v>4568</v>
      </c>
      <c r="D1138" s="53" t="s">
        <v>2713</v>
      </c>
      <c r="E1138" s="54" t="s">
        <v>655</v>
      </c>
      <c r="F1138" s="54" t="s">
        <v>135</v>
      </c>
    </row>
    <row r="1139" spans="1:6" ht="12" x14ac:dyDescent="0.2">
      <c r="A1139" s="65">
        <v>31017</v>
      </c>
      <c r="B1139" s="54" t="s">
        <v>1719</v>
      </c>
      <c r="C1139" s="54" t="s">
        <v>4569</v>
      </c>
      <c r="D1139" s="53" t="s">
        <v>4570</v>
      </c>
      <c r="E1139" s="54" t="s">
        <v>1720</v>
      </c>
      <c r="F1139" s="54" t="s">
        <v>253</v>
      </c>
    </row>
    <row r="1140" spans="1:6" ht="12" x14ac:dyDescent="0.2">
      <c r="A1140" s="65">
        <v>31021</v>
      </c>
      <c r="B1140" s="54" t="s">
        <v>1721</v>
      </c>
      <c r="C1140" s="54" t="s">
        <v>4571</v>
      </c>
      <c r="D1140" s="53" t="s">
        <v>4572</v>
      </c>
      <c r="E1140" s="54" t="s">
        <v>1721</v>
      </c>
      <c r="F1140" s="54" t="s">
        <v>48</v>
      </c>
    </row>
    <row r="1141" spans="1:6" ht="12" x14ac:dyDescent="0.2">
      <c r="A1141" s="65">
        <v>31035</v>
      </c>
      <c r="B1141" s="54" t="s">
        <v>1196</v>
      </c>
      <c r="C1141" s="54" t="s">
        <v>4573</v>
      </c>
      <c r="D1141" s="53" t="s">
        <v>4574</v>
      </c>
      <c r="E1141" s="54" t="s">
        <v>48</v>
      </c>
      <c r="F1141" s="54" t="s">
        <v>48</v>
      </c>
    </row>
    <row r="1142" spans="1:6" ht="12" x14ac:dyDescent="0.2">
      <c r="A1142" s="65">
        <v>31052</v>
      </c>
      <c r="B1142" s="54" t="s">
        <v>1722</v>
      </c>
      <c r="C1142" s="54" t="s">
        <v>4575</v>
      </c>
      <c r="D1142" s="53" t="s">
        <v>4576</v>
      </c>
      <c r="E1142" s="54" t="s">
        <v>177</v>
      </c>
      <c r="F1142" s="54" t="s">
        <v>177</v>
      </c>
    </row>
    <row r="1143" spans="1:6" ht="12" x14ac:dyDescent="0.2">
      <c r="A1143" s="65">
        <v>31089</v>
      </c>
      <c r="B1143" s="54" t="s">
        <v>1197</v>
      </c>
      <c r="C1143" s="54" t="s">
        <v>4577</v>
      </c>
      <c r="D1143" s="53" t="s">
        <v>4578</v>
      </c>
      <c r="E1143" s="54" t="s">
        <v>1197</v>
      </c>
      <c r="F1143" s="54" t="s">
        <v>239</v>
      </c>
    </row>
    <row r="1144" spans="1:6" ht="12" x14ac:dyDescent="0.2">
      <c r="A1144" s="65">
        <v>31093</v>
      </c>
      <c r="B1144" s="54" t="s">
        <v>1723</v>
      </c>
      <c r="C1144" s="54" t="s">
        <v>4579</v>
      </c>
      <c r="D1144" s="53" t="s">
        <v>2987</v>
      </c>
      <c r="E1144" s="54" t="s">
        <v>1340</v>
      </c>
      <c r="F1144" s="54" t="s">
        <v>118</v>
      </c>
    </row>
    <row r="1145" spans="1:6" ht="12" x14ac:dyDescent="0.2">
      <c r="A1145" s="65">
        <v>31096</v>
      </c>
      <c r="B1145" s="54" t="s">
        <v>1198</v>
      </c>
      <c r="C1145" s="54" t="s">
        <v>4580</v>
      </c>
      <c r="D1145" s="53" t="s">
        <v>2985</v>
      </c>
      <c r="E1145" s="54" t="s">
        <v>41</v>
      </c>
      <c r="F1145" s="54" t="s">
        <v>116</v>
      </c>
    </row>
    <row r="1146" spans="1:6" ht="12" x14ac:dyDescent="0.2">
      <c r="A1146" s="65">
        <v>31099</v>
      </c>
      <c r="B1146" s="54" t="s">
        <v>1724</v>
      </c>
      <c r="C1146" s="54" t="s">
        <v>4581</v>
      </c>
      <c r="D1146" s="53" t="s">
        <v>4141</v>
      </c>
      <c r="E1146" s="54" t="s">
        <v>336</v>
      </c>
      <c r="F1146" s="54" t="s">
        <v>84</v>
      </c>
    </row>
    <row r="1147" spans="1:6" ht="12" x14ac:dyDescent="0.2">
      <c r="A1147" s="65">
        <v>31100</v>
      </c>
      <c r="B1147" s="54" t="s">
        <v>1725</v>
      </c>
      <c r="C1147" s="54" t="s">
        <v>4582</v>
      </c>
      <c r="D1147" s="53" t="s">
        <v>4583</v>
      </c>
      <c r="E1147" s="54" t="s">
        <v>1726</v>
      </c>
      <c r="F1147" s="54" t="s">
        <v>342</v>
      </c>
    </row>
    <row r="1148" spans="1:6" ht="12" x14ac:dyDescent="0.2">
      <c r="A1148" s="65">
        <v>31102</v>
      </c>
      <c r="B1148" s="54" t="s">
        <v>1199</v>
      </c>
      <c r="C1148" s="54" t="s">
        <v>4584</v>
      </c>
      <c r="D1148" s="53" t="s">
        <v>4585</v>
      </c>
      <c r="E1148" s="54" t="s">
        <v>4586</v>
      </c>
      <c r="F1148" s="54" t="s">
        <v>84</v>
      </c>
    </row>
    <row r="1149" spans="1:6" ht="12" x14ac:dyDescent="0.2">
      <c r="A1149" s="65">
        <v>31111</v>
      </c>
      <c r="B1149" s="54" t="s">
        <v>4587</v>
      </c>
      <c r="C1149" s="54" t="s">
        <v>4588</v>
      </c>
      <c r="D1149" s="53" t="s">
        <v>2711</v>
      </c>
      <c r="E1149" s="54" t="s">
        <v>1200</v>
      </c>
      <c r="F1149" s="54" t="s">
        <v>116</v>
      </c>
    </row>
    <row r="1150" spans="1:6" ht="12" x14ac:dyDescent="0.2">
      <c r="A1150" s="65">
        <v>31112</v>
      </c>
      <c r="B1150" s="54" t="s">
        <v>1727</v>
      </c>
      <c r="C1150" s="54" t="s">
        <v>1728</v>
      </c>
      <c r="D1150" s="53" t="s">
        <v>2565</v>
      </c>
      <c r="E1150" s="54" t="s">
        <v>538</v>
      </c>
      <c r="F1150" s="54" t="s">
        <v>89</v>
      </c>
    </row>
    <row r="1151" spans="1:6" ht="12" x14ac:dyDescent="0.2">
      <c r="A1151" s="65">
        <v>31164</v>
      </c>
      <c r="B1151" s="54" t="s">
        <v>1729</v>
      </c>
      <c r="C1151" s="54" t="s">
        <v>1730</v>
      </c>
      <c r="D1151" s="53" t="s">
        <v>4174</v>
      </c>
      <c r="E1151" s="54" t="s">
        <v>84</v>
      </c>
      <c r="F1151" s="54" t="s">
        <v>84</v>
      </c>
    </row>
    <row r="1152" spans="1:6" ht="12" x14ac:dyDescent="0.2">
      <c r="A1152" s="65">
        <v>31168</v>
      </c>
      <c r="B1152" s="54" t="s">
        <v>1201</v>
      </c>
      <c r="C1152" s="54" t="s">
        <v>4589</v>
      </c>
      <c r="D1152" s="53" t="s">
        <v>4350</v>
      </c>
      <c r="E1152" s="54" t="s">
        <v>913</v>
      </c>
      <c r="F1152" s="54" t="s">
        <v>38</v>
      </c>
    </row>
    <row r="1153" spans="1:6" ht="12" x14ac:dyDescent="0.2">
      <c r="A1153" s="65">
        <v>31175</v>
      </c>
      <c r="B1153" s="54" t="s">
        <v>1731</v>
      </c>
      <c r="C1153" s="54" t="s">
        <v>4590</v>
      </c>
      <c r="D1153" s="53" t="s">
        <v>4203</v>
      </c>
      <c r="E1153" s="54" t="s">
        <v>576</v>
      </c>
      <c r="F1153" s="54" t="s">
        <v>35</v>
      </c>
    </row>
    <row r="1154" spans="1:6" ht="12" x14ac:dyDescent="0.2">
      <c r="A1154" s="65">
        <v>31178</v>
      </c>
      <c r="B1154" s="54" t="s">
        <v>382</v>
      </c>
      <c r="C1154" s="54" t="s">
        <v>4591</v>
      </c>
      <c r="D1154" s="53" t="s">
        <v>2748</v>
      </c>
      <c r="E1154" s="54" t="s">
        <v>132</v>
      </c>
      <c r="F1154" s="54" t="s">
        <v>116</v>
      </c>
    </row>
    <row r="1155" spans="1:6" ht="12" x14ac:dyDescent="0.2">
      <c r="A1155" s="65">
        <v>31181</v>
      </c>
      <c r="B1155" s="54" t="s">
        <v>1202</v>
      </c>
      <c r="C1155" s="54" t="s">
        <v>4592</v>
      </c>
      <c r="D1155" s="53" t="s">
        <v>2652</v>
      </c>
      <c r="E1155" s="54" t="s">
        <v>1014</v>
      </c>
      <c r="F1155" s="54" t="s">
        <v>65</v>
      </c>
    </row>
    <row r="1156" spans="1:6" ht="12" x14ac:dyDescent="0.2">
      <c r="A1156" s="65">
        <v>31189</v>
      </c>
      <c r="B1156" s="54" t="s">
        <v>1203</v>
      </c>
      <c r="C1156" s="54" t="s">
        <v>4593</v>
      </c>
      <c r="D1156" s="53" t="s">
        <v>4594</v>
      </c>
      <c r="E1156" s="54" t="s">
        <v>1204</v>
      </c>
      <c r="F1156" s="54" t="s">
        <v>158</v>
      </c>
    </row>
    <row r="1157" spans="1:6" ht="12" x14ac:dyDescent="0.2">
      <c r="A1157" s="65">
        <v>31189</v>
      </c>
      <c r="B1157" s="54" t="s">
        <v>1203</v>
      </c>
      <c r="C1157" s="54" t="s">
        <v>4593</v>
      </c>
      <c r="D1157" s="53" t="s">
        <v>4594</v>
      </c>
      <c r="E1157" s="54" t="s">
        <v>1204</v>
      </c>
      <c r="F1157" s="54" t="s">
        <v>158</v>
      </c>
    </row>
    <row r="1158" spans="1:6" ht="12" x14ac:dyDescent="0.2">
      <c r="A1158" s="65">
        <v>31190</v>
      </c>
      <c r="B1158" s="54" t="s">
        <v>1732</v>
      </c>
      <c r="C1158" s="54" t="s">
        <v>1733</v>
      </c>
      <c r="D1158" s="53" t="s">
        <v>4595</v>
      </c>
      <c r="E1158" s="54" t="s">
        <v>654</v>
      </c>
      <c r="F1158" s="54" t="s">
        <v>38</v>
      </c>
    </row>
    <row r="1159" spans="1:6" ht="12" x14ac:dyDescent="0.2">
      <c r="A1159" s="65">
        <v>31196</v>
      </c>
      <c r="B1159" s="54" t="s">
        <v>773</v>
      </c>
      <c r="C1159" s="54" t="s">
        <v>4596</v>
      </c>
      <c r="D1159" s="53" t="s">
        <v>4597</v>
      </c>
      <c r="E1159" s="54" t="s">
        <v>773</v>
      </c>
      <c r="F1159" s="54" t="s">
        <v>82</v>
      </c>
    </row>
    <row r="1160" spans="1:6" ht="12" x14ac:dyDescent="0.2">
      <c r="A1160" s="65">
        <v>31239</v>
      </c>
      <c r="B1160" s="54" t="s">
        <v>4598</v>
      </c>
      <c r="C1160" s="54" t="s">
        <v>4599</v>
      </c>
      <c r="D1160" s="53" t="s">
        <v>4600</v>
      </c>
      <c r="E1160" s="54" t="s">
        <v>4598</v>
      </c>
      <c r="F1160" s="54" t="s">
        <v>42</v>
      </c>
    </row>
    <row r="1161" spans="1:6" ht="12" x14ac:dyDescent="0.2">
      <c r="A1161" s="65">
        <v>31288</v>
      </c>
      <c r="B1161" s="54" t="s">
        <v>4601</v>
      </c>
      <c r="C1161" s="54" t="s">
        <v>4602</v>
      </c>
      <c r="D1161" s="53" t="s">
        <v>4603</v>
      </c>
      <c r="E1161" s="54" t="s">
        <v>4604</v>
      </c>
      <c r="F1161" s="54" t="s">
        <v>82</v>
      </c>
    </row>
    <row r="1162" spans="1:6" ht="12" x14ac:dyDescent="0.2">
      <c r="A1162" s="65">
        <v>31294</v>
      </c>
      <c r="B1162" s="54" t="s">
        <v>1205</v>
      </c>
      <c r="C1162" s="54" t="s">
        <v>4605</v>
      </c>
      <c r="D1162" s="53" t="s">
        <v>3909</v>
      </c>
      <c r="E1162" s="54" t="s">
        <v>3910</v>
      </c>
      <c r="F1162" s="54" t="s">
        <v>82</v>
      </c>
    </row>
    <row r="1163" spans="1:6" ht="12" x14ac:dyDescent="0.2">
      <c r="A1163" s="65">
        <v>31300</v>
      </c>
      <c r="B1163" s="54" t="s">
        <v>1206</v>
      </c>
      <c r="C1163" s="54" t="s">
        <v>4606</v>
      </c>
      <c r="D1163" s="53" t="s">
        <v>4607</v>
      </c>
      <c r="E1163" s="54" t="s">
        <v>1207</v>
      </c>
      <c r="F1163" s="54" t="s">
        <v>378</v>
      </c>
    </row>
    <row r="1164" spans="1:6" ht="12" x14ac:dyDescent="0.2">
      <c r="A1164" s="65">
        <v>31301</v>
      </c>
      <c r="B1164" s="54" t="s">
        <v>1208</v>
      </c>
      <c r="C1164" s="54" t="s">
        <v>4606</v>
      </c>
      <c r="D1164" s="53" t="s">
        <v>4607</v>
      </c>
      <c r="E1164" s="54" t="s">
        <v>1207</v>
      </c>
      <c r="F1164" s="54" t="s">
        <v>378</v>
      </c>
    </row>
    <row r="1165" spans="1:6" ht="12" x14ac:dyDescent="0.2">
      <c r="A1165" s="65">
        <v>31316</v>
      </c>
      <c r="B1165" s="54" t="s">
        <v>383</v>
      </c>
      <c r="C1165" s="54" t="s">
        <v>4608</v>
      </c>
      <c r="D1165" s="53" t="s">
        <v>3151</v>
      </c>
      <c r="E1165" s="54" t="s">
        <v>384</v>
      </c>
      <c r="F1165" s="54" t="s">
        <v>253</v>
      </c>
    </row>
    <row r="1166" spans="1:6" ht="12" x14ac:dyDescent="0.2">
      <c r="A1166" s="65">
        <v>31316</v>
      </c>
      <c r="B1166" s="54" t="s">
        <v>383</v>
      </c>
      <c r="C1166" s="54" t="s">
        <v>4608</v>
      </c>
      <c r="D1166" s="53" t="s">
        <v>3151</v>
      </c>
      <c r="E1166" s="54" t="s">
        <v>384</v>
      </c>
      <c r="F1166" s="54" t="s">
        <v>253</v>
      </c>
    </row>
    <row r="1167" spans="1:6" ht="12" x14ac:dyDescent="0.2">
      <c r="A1167" s="65">
        <v>31333</v>
      </c>
      <c r="B1167" s="54" t="s">
        <v>4609</v>
      </c>
      <c r="C1167" s="54" t="s">
        <v>4610</v>
      </c>
      <c r="D1167" s="53" t="s">
        <v>4611</v>
      </c>
      <c r="E1167" s="54" t="s">
        <v>1667</v>
      </c>
      <c r="F1167" s="54" t="s">
        <v>48</v>
      </c>
    </row>
    <row r="1168" spans="1:6" ht="12" x14ac:dyDescent="0.2">
      <c r="A1168" s="65">
        <v>31354</v>
      </c>
      <c r="B1168" s="54" t="s">
        <v>1209</v>
      </c>
      <c r="C1168" s="54" t="s">
        <v>4612</v>
      </c>
      <c r="D1168" s="53" t="s">
        <v>4613</v>
      </c>
      <c r="E1168" s="54" t="s">
        <v>4614</v>
      </c>
      <c r="F1168" s="54" t="s">
        <v>342</v>
      </c>
    </row>
    <row r="1169" spans="1:6" ht="12" x14ac:dyDescent="0.2">
      <c r="A1169" s="65">
        <v>31369</v>
      </c>
      <c r="B1169" s="54" t="s">
        <v>1734</v>
      </c>
      <c r="C1169" s="54" t="s">
        <v>4615</v>
      </c>
      <c r="D1169" s="53" t="s">
        <v>3132</v>
      </c>
      <c r="E1169" s="54" t="s">
        <v>573</v>
      </c>
      <c r="F1169" s="54" t="s">
        <v>51</v>
      </c>
    </row>
    <row r="1170" spans="1:6" ht="12" x14ac:dyDescent="0.2">
      <c r="A1170" s="65">
        <v>31373</v>
      </c>
      <c r="B1170" s="54" t="s">
        <v>1258</v>
      </c>
      <c r="C1170" s="54" t="s">
        <v>4616</v>
      </c>
      <c r="D1170" s="53" t="s">
        <v>4617</v>
      </c>
      <c r="E1170" s="54" t="s">
        <v>1735</v>
      </c>
      <c r="F1170" s="54" t="s">
        <v>80</v>
      </c>
    </row>
    <row r="1171" spans="1:6" ht="12" x14ac:dyDescent="0.2">
      <c r="A1171" s="65">
        <v>31383</v>
      </c>
      <c r="B1171" s="54" t="s">
        <v>385</v>
      </c>
      <c r="C1171" s="54" t="s">
        <v>386</v>
      </c>
      <c r="D1171" s="53" t="s">
        <v>4618</v>
      </c>
      <c r="E1171" s="54" t="s">
        <v>385</v>
      </c>
      <c r="F1171" s="54" t="s">
        <v>101</v>
      </c>
    </row>
    <row r="1172" spans="1:6" ht="12" x14ac:dyDescent="0.2">
      <c r="A1172" s="65">
        <v>31398</v>
      </c>
      <c r="B1172" s="54" t="s">
        <v>1736</v>
      </c>
      <c r="C1172" s="54" t="s">
        <v>4619</v>
      </c>
      <c r="D1172" s="53" t="s">
        <v>4620</v>
      </c>
      <c r="E1172" s="54" t="s">
        <v>1737</v>
      </c>
      <c r="F1172" s="54" t="s">
        <v>640</v>
      </c>
    </row>
    <row r="1173" spans="1:6" ht="12" x14ac:dyDescent="0.2">
      <c r="A1173" s="65">
        <v>31412</v>
      </c>
      <c r="B1173" s="54" t="s">
        <v>1907</v>
      </c>
      <c r="C1173" s="54" t="s">
        <v>4621</v>
      </c>
      <c r="D1173" s="53" t="s">
        <v>4622</v>
      </c>
      <c r="E1173" s="54" t="s">
        <v>52</v>
      </c>
      <c r="F1173" s="54" t="s">
        <v>51</v>
      </c>
    </row>
    <row r="1174" spans="1:6" ht="12" x14ac:dyDescent="0.2">
      <c r="A1174" s="65">
        <v>31442</v>
      </c>
      <c r="B1174" s="54" t="s">
        <v>1738</v>
      </c>
      <c r="C1174" s="54" t="s">
        <v>1739</v>
      </c>
      <c r="D1174" s="53" t="s">
        <v>4623</v>
      </c>
      <c r="E1174" s="54" t="s">
        <v>84</v>
      </c>
      <c r="F1174" s="54" t="s">
        <v>84</v>
      </c>
    </row>
    <row r="1175" spans="1:6" ht="12" x14ac:dyDescent="0.2">
      <c r="A1175" s="65">
        <v>31447</v>
      </c>
      <c r="B1175" s="54" t="s">
        <v>1908</v>
      </c>
      <c r="C1175" s="54" t="s">
        <v>4621</v>
      </c>
      <c r="D1175" s="53" t="s">
        <v>4622</v>
      </c>
      <c r="E1175" s="54" t="s">
        <v>52</v>
      </c>
      <c r="F1175" s="54" t="s">
        <v>51</v>
      </c>
    </row>
    <row r="1176" spans="1:6" ht="12" x14ac:dyDescent="0.2">
      <c r="A1176" s="65">
        <v>31454</v>
      </c>
      <c r="B1176" s="54" t="s">
        <v>387</v>
      </c>
      <c r="C1176" s="54" t="s">
        <v>4624</v>
      </c>
      <c r="D1176" s="53" t="s">
        <v>4625</v>
      </c>
      <c r="E1176" s="54" t="s">
        <v>51</v>
      </c>
      <c r="F1176" s="54" t="s">
        <v>51</v>
      </c>
    </row>
    <row r="1177" spans="1:6" ht="12" x14ac:dyDescent="0.2">
      <c r="A1177" s="65">
        <v>31461</v>
      </c>
      <c r="B1177" s="54" t="s">
        <v>4626</v>
      </c>
      <c r="C1177" s="54" t="s">
        <v>4627</v>
      </c>
      <c r="D1177" s="53" t="s">
        <v>4628</v>
      </c>
      <c r="E1177" s="54" t="s">
        <v>1210</v>
      </c>
      <c r="F1177" s="54" t="s">
        <v>378</v>
      </c>
    </row>
    <row r="1178" spans="1:6" ht="12" x14ac:dyDescent="0.2">
      <c r="A1178" s="65">
        <v>31462</v>
      </c>
      <c r="B1178" s="54" t="s">
        <v>4629</v>
      </c>
      <c r="C1178" s="54" t="s">
        <v>4627</v>
      </c>
      <c r="D1178" s="53" t="s">
        <v>4628</v>
      </c>
      <c r="E1178" s="54" t="s">
        <v>1210</v>
      </c>
      <c r="F1178" s="54" t="s">
        <v>378</v>
      </c>
    </row>
    <row r="1179" spans="1:6" ht="12" x14ac:dyDescent="0.2">
      <c r="A1179" s="65">
        <v>31471</v>
      </c>
      <c r="B1179" s="54" t="s">
        <v>1211</v>
      </c>
      <c r="C1179" s="54" t="s">
        <v>4630</v>
      </c>
      <c r="D1179" s="53" t="s">
        <v>4631</v>
      </c>
      <c r="E1179" s="54" t="s">
        <v>4632</v>
      </c>
      <c r="F1179" s="54" t="s">
        <v>51</v>
      </c>
    </row>
    <row r="1180" spans="1:6" ht="12" x14ac:dyDescent="0.2">
      <c r="A1180" s="65">
        <v>31472</v>
      </c>
      <c r="B1180" s="54" t="s">
        <v>1212</v>
      </c>
      <c r="C1180" s="54" t="s">
        <v>4630</v>
      </c>
      <c r="D1180" s="53" t="s">
        <v>4631</v>
      </c>
      <c r="E1180" s="54" t="s">
        <v>4632</v>
      </c>
      <c r="F1180" s="54" t="s">
        <v>51</v>
      </c>
    </row>
    <row r="1181" spans="1:6" ht="12" x14ac:dyDescent="0.2">
      <c r="A1181" s="65">
        <v>31479</v>
      </c>
      <c r="B1181" s="54" t="s">
        <v>1213</v>
      </c>
      <c r="C1181" s="54" t="s">
        <v>4633</v>
      </c>
      <c r="D1181" s="53" t="s">
        <v>3656</v>
      </c>
      <c r="E1181" s="54" t="s">
        <v>259</v>
      </c>
      <c r="F1181" s="54" t="s">
        <v>108</v>
      </c>
    </row>
    <row r="1182" spans="1:6" ht="12" x14ac:dyDescent="0.2">
      <c r="A1182" s="65">
        <v>31480</v>
      </c>
      <c r="B1182" s="54" t="s">
        <v>1214</v>
      </c>
      <c r="C1182" s="54" t="s">
        <v>4633</v>
      </c>
      <c r="D1182" s="53" t="s">
        <v>3656</v>
      </c>
      <c r="E1182" s="54" t="s">
        <v>259</v>
      </c>
      <c r="F1182" s="54" t="s">
        <v>108</v>
      </c>
    </row>
    <row r="1183" spans="1:6" ht="12" x14ac:dyDescent="0.2">
      <c r="A1183" s="66">
        <v>31487</v>
      </c>
      <c r="B1183" s="54" t="s">
        <v>1909</v>
      </c>
      <c r="C1183" s="54" t="s">
        <v>4634</v>
      </c>
      <c r="D1183" s="53" t="s">
        <v>4635</v>
      </c>
      <c r="E1183" s="54" t="s">
        <v>1910</v>
      </c>
      <c r="F1183" s="54" t="s">
        <v>97</v>
      </c>
    </row>
    <row r="1184" spans="1:6" ht="12" x14ac:dyDescent="0.2">
      <c r="A1184" s="66">
        <v>31488</v>
      </c>
      <c r="B1184" s="54" t="s">
        <v>1911</v>
      </c>
      <c r="C1184" s="54" t="s">
        <v>4634</v>
      </c>
      <c r="D1184" s="53" t="s">
        <v>4635</v>
      </c>
      <c r="E1184" s="54" t="s">
        <v>1910</v>
      </c>
      <c r="F1184" s="54" t="s">
        <v>97</v>
      </c>
    </row>
    <row r="1185" spans="1:6" ht="12" x14ac:dyDescent="0.2">
      <c r="A1185" s="66">
        <v>31493</v>
      </c>
      <c r="B1185" s="54" t="s">
        <v>1740</v>
      </c>
      <c r="C1185" s="54" t="s">
        <v>4636</v>
      </c>
      <c r="D1185" s="53" t="s">
        <v>4637</v>
      </c>
      <c r="E1185" s="54" t="s">
        <v>64</v>
      </c>
      <c r="F1185" s="54" t="s">
        <v>63</v>
      </c>
    </row>
    <row r="1186" spans="1:6" ht="12" x14ac:dyDescent="0.2">
      <c r="A1186" s="66">
        <v>31494</v>
      </c>
      <c r="B1186" s="54" t="s">
        <v>388</v>
      </c>
      <c r="C1186" s="54" t="s">
        <v>4638</v>
      </c>
      <c r="D1186" s="53" t="s">
        <v>4639</v>
      </c>
      <c r="E1186" s="54" t="s">
        <v>112</v>
      </c>
      <c r="F1186" s="54" t="s">
        <v>112</v>
      </c>
    </row>
    <row r="1187" spans="1:6" ht="12" x14ac:dyDescent="0.2">
      <c r="A1187" s="65">
        <v>31500</v>
      </c>
      <c r="B1187" s="54" t="s">
        <v>1215</v>
      </c>
      <c r="C1187" s="54" t="s">
        <v>4640</v>
      </c>
      <c r="D1187" s="53" t="s">
        <v>4641</v>
      </c>
      <c r="E1187" s="54" t="s">
        <v>179</v>
      </c>
      <c r="F1187" s="54" t="s">
        <v>179</v>
      </c>
    </row>
    <row r="1188" spans="1:6" ht="12" x14ac:dyDescent="0.2">
      <c r="A1188" s="65">
        <v>31506</v>
      </c>
      <c r="B1188" s="54" t="s">
        <v>389</v>
      </c>
      <c r="C1188" s="54" t="s">
        <v>4642</v>
      </c>
      <c r="D1188" s="53" t="s">
        <v>3143</v>
      </c>
      <c r="E1188" s="54" t="s">
        <v>390</v>
      </c>
      <c r="F1188" s="54" t="s">
        <v>84</v>
      </c>
    </row>
    <row r="1189" spans="1:6" ht="12" x14ac:dyDescent="0.2">
      <c r="A1189" s="65">
        <v>31522</v>
      </c>
      <c r="B1189" s="54" t="s">
        <v>391</v>
      </c>
      <c r="C1189" s="54" t="s">
        <v>4643</v>
      </c>
      <c r="D1189" s="53" t="s">
        <v>4644</v>
      </c>
      <c r="E1189" s="54" t="s">
        <v>392</v>
      </c>
      <c r="F1189" s="54" t="s">
        <v>342</v>
      </c>
    </row>
    <row r="1190" spans="1:6" ht="12" x14ac:dyDescent="0.2">
      <c r="A1190" s="65">
        <v>31527</v>
      </c>
      <c r="B1190" s="54" t="s">
        <v>1216</v>
      </c>
      <c r="C1190" s="54" t="s">
        <v>4645</v>
      </c>
      <c r="D1190" s="53" t="s">
        <v>4646</v>
      </c>
      <c r="E1190" s="54" t="s">
        <v>4647</v>
      </c>
      <c r="F1190" s="54" t="s">
        <v>2553</v>
      </c>
    </row>
    <row r="1191" spans="1:6" ht="12" x14ac:dyDescent="0.2">
      <c r="A1191" s="65">
        <v>31532</v>
      </c>
      <c r="B1191" s="54" t="s">
        <v>4648</v>
      </c>
      <c r="C1191" s="54" t="s">
        <v>4649</v>
      </c>
      <c r="D1191" s="53" t="s">
        <v>4650</v>
      </c>
      <c r="E1191" s="54" t="s">
        <v>758</v>
      </c>
      <c r="F1191" s="54" t="s">
        <v>82</v>
      </c>
    </row>
    <row r="1192" spans="1:6" ht="12" x14ac:dyDescent="0.2">
      <c r="A1192" s="65">
        <v>31536</v>
      </c>
      <c r="B1192" s="54" t="s">
        <v>393</v>
      </c>
      <c r="C1192" s="54" t="s">
        <v>4651</v>
      </c>
      <c r="D1192" s="53" t="s">
        <v>4652</v>
      </c>
      <c r="E1192" s="54" t="s">
        <v>84</v>
      </c>
      <c r="F1192" s="54" t="s">
        <v>84</v>
      </c>
    </row>
    <row r="1193" spans="1:6" ht="12" x14ac:dyDescent="0.2">
      <c r="A1193" s="65">
        <v>31537</v>
      </c>
      <c r="B1193" s="54" t="s">
        <v>1217</v>
      </c>
      <c r="C1193" s="54" t="s">
        <v>4653</v>
      </c>
      <c r="D1193" s="53" t="s">
        <v>4654</v>
      </c>
      <c r="E1193" s="54" t="s">
        <v>46</v>
      </c>
      <c r="F1193" s="54" t="s">
        <v>2505</v>
      </c>
    </row>
    <row r="1194" spans="1:6" ht="12" x14ac:dyDescent="0.2">
      <c r="A1194" s="65">
        <v>31538</v>
      </c>
      <c r="B1194" s="54" t="s">
        <v>1218</v>
      </c>
      <c r="C1194" s="54" t="s">
        <v>4653</v>
      </c>
      <c r="D1194" s="53" t="s">
        <v>4654</v>
      </c>
      <c r="E1194" s="54" t="s">
        <v>46</v>
      </c>
      <c r="F1194" s="54" t="s">
        <v>2505</v>
      </c>
    </row>
    <row r="1195" spans="1:6" ht="12" x14ac:dyDescent="0.2">
      <c r="A1195" s="65">
        <v>31542</v>
      </c>
      <c r="B1195" s="54" t="s">
        <v>1219</v>
      </c>
      <c r="C1195" s="54" t="s">
        <v>4655</v>
      </c>
      <c r="D1195" s="53" t="s">
        <v>4656</v>
      </c>
      <c r="E1195" s="54" t="s">
        <v>4657</v>
      </c>
      <c r="F1195" s="54" t="s">
        <v>84</v>
      </c>
    </row>
    <row r="1196" spans="1:6" ht="12" x14ac:dyDescent="0.2">
      <c r="A1196" s="65">
        <v>31545</v>
      </c>
      <c r="B1196" s="54" t="s">
        <v>394</v>
      </c>
      <c r="C1196" s="54" t="s">
        <v>4658</v>
      </c>
      <c r="D1196" s="53" t="s">
        <v>4652</v>
      </c>
      <c r="E1196" s="54" t="s">
        <v>84</v>
      </c>
      <c r="F1196" s="54" t="s">
        <v>84</v>
      </c>
    </row>
    <row r="1197" spans="1:6" ht="12" x14ac:dyDescent="0.2">
      <c r="A1197" s="65">
        <v>31550</v>
      </c>
      <c r="B1197" s="54" t="s">
        <v>1741</v>
      </c>
      <c r="C1197" s="54" t="s">
        <v>4659</v>
      </c>
      <c r="D1197" s="53" t="s">
        <v>4660</v>
      </c>
      <c r="E1197" s="54" t="s">
        <v>1742</v>
      </c>
      <c r="F1197" s="54" t="s">
        <v>101</v>
      </c>
    </row>
    <row r="1198" spans="1:6" ht="12" x14ac:dyDescent="0.2">
      <c r="A1198" s="65">
        <v>31573</v>
      </c>
      <c r="B1198" s="54" t="s">
        <v>1221</v>
      </c>
      <c r="C1198" s="54" t="s">
        <v>4661</v>
      </c>
      <c r="D1198" s="53" t="s">
        <v>4662</v>
      </c>
      <c r="E1198" s="54" t="s">
        <v>1222</v>
      </c>
      <c r="F1198" s="54" t="s">
        <v>2553</v>
      </c>
    </row>
    <row r="1199" spans="1:6" ht="12" x14ac:dyDescent="0.2">
      <c r="A1199" s="65">
        <v>31575</v>
      </c>
      <c r="B1199" s="54" t="s">
        <v>1223</v>
      </c>
      <c r="C1199" s="54" t="s">
        <v>4663</v>
      </c>
      <c r="D1199" s="53" t="s">
        <v>4664</v>
      </c>
      <c r="E1199" s="54" t="s">
        <v>1224</v>
      </c>
      <c r="F1199" s="54" t="s">
        <v>239</v>
      </c>
    </row>
    <row r="1200" spans="1:6" ht="12" x14ac:dyDescent="0.2">
      <c r="A1200" s="65">
        <v>31592</v>
      </c>
      <c r="B1200" s="54" t="s">
        <v>1225</v>
      </c>
      <c r="C1200" s="54" t="s">
        <v>4666</v>
      </c>
      <c r="D1200" s="53" t="s">
        <v>3149</v>
      </c>
      <c r="E1200" s="54" t="s">
        <v>1083</v>
      </c>
      <c r="F1200" s="54" t="s">
        <v>84</v>
      </c>
    </row>
    <row r="1201" spans="1:6" ht="12" x14ac:dyDescent="0.2">
      <c r="A1201" s="65">
        <v>31599</v>
      </c>
      <c r="B1201" s="54" t="s">
        <v>1226</v>
      </c>
      <c r="C1201" s="54" t="s">
        <v>4667</v>
      </c>
      <c r="D1201" s="53" t="s">
        <v>2568</v>
      </c>
      <c r="E1201" s="54" t="s">
        <v>999</v>
      </c>
      <c r="F1201" s="54" t="s">
        <v>112</v>
      </c>
    </row>
    <row r="1202" spans="1:6" ht="12" x14ac:dyDescent="0.2">
      <c r="A1202" s="65">
        <v>31600</v>
      </c>
      <c r="B1202" s="54" t="s">
        <v>1227</v>
      </c>
      <c r="C1202" s="54" t="s">
        <v>4667</v>
      </c>
      <c r="D1202" s="53" t="s">
        <v>2568</v>
      </c>
      <c r="E1202" s="54" t="s">
        <v>999</v>
      </c>
      <c r="F1202" s="54" t="s">
        <v>112</v>
      </c>
    </row>
    <row r="1203" spans="1:6" ht="12" x14ac:dyDescent="0.2">
      <c r="A1203" s="65">
        <v>31606</v>
      </c>
      <c r="B1203" s="54" t="s">
        <v>1743</v>
      </c>
      <c r="C1203" s="54" t="s">
        <v>4668</v>
      </c>
      <c r="D1203" s="53" t="s">
        <v>4669</v>
      </c>
      <c r="E1203" s="54" t="s">
        <v>1744</v>
      </c>
      <c r="F1203" s="54" t="s">
        <v>84</v>
      </c>
    </row>
    <row r="1204" spans="1:6" ht="12" x14ac:dyDescent="0.2">
      <c r="A1204" s="65">
        <v>31609</v>
      </c>
      <c r="B1204" s="54" t="s">
        <v>395</v>
      </c>
      <c r="C1204" s="54" t="s">
        <v>4670</v>
      </c>
      <c r="D1204" s="53" t="s">
        <v>4671</v>
      </c>
      <c r="E1204" s="54" t="s">
        <v>395</v>
      </c>
      <c r="F1204" s="54" t="s">
        <v>82</v>
      </c>
    </row>
    <row r="1205" spans="1:6" ht="12" x14ac:dyDescent="0.2">
      <c r="A1205" s="65">
        <v>31610</v>
      </c>
      <c r="B1205" s="54" t="s">
        <v>4672</v>
      </c>
      <c r="C1205" s="54" t="s">
        <v>4673</v>
      </c>
      <c r="D1205" s="53" t="s">
        <v>4674</v>
      </c>
      <c r="E1205" s="54" t="s">
        <v>4675</v>
      </c>
      <c r="F1205" s="54" t="s">
        <v>152</v>
      </c>
    </row>
    <row r="1206" spans="1:6" ht="12" x14ac:dyDescent="0.2">
      <c r="A1206" s="65">
        <v>31612</v>
      </c>
      <c r="B1206" s="54" t="s">
        <v>993</v>
      </c>
      <c r="C1206" s="56" t="s">
        <v>4676</v>
      </c>
      <c r="D1206" s="53" t="s">
        <v>4677</v>
      </c>
      <c r="E1206" s="54" t="s">
        <v>1745</v>
      </c>
      <c r="F1206" s="54" t="s">
        <v>80</v>
      </c>
    </row>
    <row r="1207" spans="1:6" ht="12" x14ac:dyDescent="0.2">
      <c r="A1207" s="65">
        <v>31613</v>
      </c>
      <c r="B1207" s="54" t="s">
        <v>396</v>
      </c>
      <c r="C1207" s="54" t="s">
        <v>4678</v>
      </c>
      <c r="D1207" s="53" t="s">
        <v>2839</v>
      </c>
      <c r="E1207" s="54" t="s">
        <v>2840</v>
      </c>
      <c r="F1207" s="54" t="s">
        <v>2840</v>
      </c>
    </row>
    <row r="1208" spans="1:6" ht="12" x14ac:dyDescent="0.2">
      <c r="A1208" s="65">
        <v>31626</v>
      </c>
      <c r="B1208" s="54" t="s">
        <v>4679</v>
      </c>
      <c r="C1208" s="54" t="s">
        <v>4680</v>
      </c>
      <c r="D1208" s="53" t="s">
        <v>4014</v>
      </c>
      <c r="E1208" s="54" t="s">
        <v>692</v>
      </c>
      <c r="F1208" s="54" t="s">
        <v>171</v>
      </c>
    </row>
    <row r="1209" spans="1:6" ht="12" x14ac:dyDescent="0.2">
      <c r="A1209" s="65">
        <v>31628</v>
      </c>
      <c r="B1209" s="54" t="s">
        <v>1746</v>
      </c>
      <c r="C1209" s="54" t="s">
        <v>1747</v>
      </c>
      <c r="D1209" s="53" t="s">
        <v>4681</v>
      </c>
      <c r="E1209" s="54" t="s">
        <v>96</v>
      </c>
      <c r="F1209" s="54" t="s">
        <v>97</v>
      </c>
    </row>
    <row r="1210" spans="1:6" ht="12" x14ac:dyDescent="0.2">
      <c r="A1210" s="65">
        <v>31629</v>
      </c>
      <c r="B1210" s="54" t="s">
        <v>4682</v>
      </c>
      <c r="C1210" s="54" t="s">
        <v>4680</v>
      </c>
      <c r="D1210" s="53" t="s">
        <v>4014</v>
      </c>
      <c r="E1210" s="54" t="s">
        <v>692</v>
      </c>
      <c r="F1210" s="54" t="s">
        <v>171</v>
      </c>
    </row>
    <row r="1211" spans="1:6" ht="12" x14ac:dyDescent="0.2">
      <c r="A1211" s="65">
        <v>31631</v>
      </c>
      <c r="B1211" s="54" t="s">
        <v>1228</v>
      </c>
      <c r="C1211" s="54" t="s">
        <v>4683</v>
      </c>
      <c r="D1211" s="53" t="s">
        <v>4684</v>
      </c>
      <c r="E1211" s="54" t="s">
        <v>1229</v>
      </c>
      <c r="F1211" s="54" t="s">
        <v>154</v>
      </c>
    </row>
    <row r="1212" spans="1:6" ht="12" x14ac:dyDescent="0.2">
      <c r="A1212" s="65">
        <v>31632</v>
      </c>
      <c r="B1212" s="54" t="s">
        <v>1230</v>
      </c>
      <c r="C1212" s="54" t="s">
        <v>4683</v>
      </c>
      <c r="D1212" s="53" t="s">
        <v>4684</v>
      </c>
      <c r="E1212" s="54" t="s">
        <v>1229</v>
      </c>
      <c r="F1212" s="54" t="s">
        <v>154</v>
      </c>
    </row>
    <row r="1213" spans="1:6" ht="12" x14ac:dyDescent="0.2">
      <c r="A1213" s="65">
        <v>31671</v>
      </c>
      <c r="B1213" s="54" t="s">
        <v>4685</v>
      </c>
      <c r="C1213" s="54" t="s">
        <v>4686</v>
      </c>
      <c r="D1213" s="53" t="s">
        <v>4687</v>
      </c>
      <c r="E1213" s="54" t="s">
        <v>4688</v>
      </c>
      <c r="F1213" s="54" t="s">
        <v>35</v>
      </c>
    </row>
    <row r="1214" spans="1:6" ht="12" x14ac:dyDescent="0.2">
      <c r="A1214" s="65">
        <v>31678</v>
      </c>
      <c r="B1214" s="54" t="s">
        <v>51</v>
      </c>
      <c r="C1214" s="54" t="s">
        <v>4689</v>
      </c>
      <c r="D1214" s="53" t="s">
        <v>4625</v>
      </c>
      <c r="E1214" s="54" t="s">
        <v>51</v>
      </c>
      <c r="F1214" s="54" t="s">
        <v>51</v>
      </c>
    </row>
    <row r="1215" spans="1:6" ht="12" x14ac:dyDescent="0.2">
      <c r="A1215" s="65">
        <v>31678</v>
      </c>
      <c r="B1215" s="54" t="s">
        <v>51</v>
      </c>
      <c r="C1215" s="54" t="s">
        <v>4689</v>
      </c>
      <c r="D1215" s="53" t="s">
        <v>4625</v>
      </c>
      <c r="E1215" s="54" t="s">
        <v>51</v>
      </c>
      <c r="F1215" s="54" t="s">
        <v>51</v>
      </c>
    </row>
    <row r="1216" spans="1:6" ht="12" x14ac:dyDescent="0.2">
      <c r="A1216" s="65">
        <v>31688</v>
      </c>
      <c r="B1216" s="54" t="s">
        <v>4690</v>
      </c>
      <c r="C1216" s="54" t="s">
        <v>4691</v>
      </c>
      <c r="D1216" s="53" t="s">
        <v>4692</v>
      </c>
      <c r="E1216" s="54" t="s">
        <v>2031</v>
      </c>
      <c r="F1216" s="54" t="s">
        <v>342</v>
      </c>
    </row>
    <row r="1217" spans="1:6" ht="12" x14ac:dyDescent="0.2">
      <c r="A1217" s="65">
        <v>31689</v>
      </c>
      <c r="B1217" s="54" t="s">
        <v>4693</v>
      </c>
      <c r="C1217" s="54" t="s">
        <v>4691</v>
      </c>
      <c r="D1217" s="53" t="s">
        <v>4692</v>
      </c>
      <c r="E1217" s="54" t="s">
        <v>2031</v>
      </c>
      <c r="F1217" s="54" t="s">
        <v>342</v>
      </c>
    </row>
    <row r="1218" spans="1:6" ht="12" x14ac:dyDescent="0.2">
      <c r="A1218" s="66">
        <v>31714</v>
      </c>
      <c r="B1218" s="54" t="s">
        <v>4694</v>
      </c>
      <c r="C1218" s="54" t="s">
        <v>4695</v>
      </c>
      <c r="D1218" s="53" t="s">
        <v>2647</v>
      </c>
      <c r="E1218" s="54" t="s">
        <v>2648</v>
      </c>
      <c r="F1218" s="54" t="s">
        <v>82</v>
      </c>
    </row>
    <row r="1219" spans="1:6" ht="12" x14ac:dyDescent="0.2">
      <c r="A1219" s="65">
        <v>31716</v>
      </c>
      <c r="B1219" s="54" t="s">
        <v>1232</v>
      </c>
      <c r="C1219" s="54" t="s">
        <v>4696</v>
      </c>
      <c r="D1219" s="53" t="s">
        <v>4697</v>
      </c>
      <c r="E1219" s="54" t="s">
        <v>1233</v>
      </c>
      <c r="F1219" s="54" t="s">
        <v>154</v>
      </c>
    </row>
    <row r="1220" spans="1:6" ht="12" x14ac:dyDescent="0.2">
      <c r="A1220" s="65">
        <v>31717</v>
      </c>
      <c r="B1220" s="54" t="s">
        <v>1234</v>
      </c>
      <c r="C1220" s="54" t="s">
        <v>4696</v>
      </c>
      <c r="D1220" s="53" t="s">
        <v>4697</v>
      </c>
      <c r="E1220" s="54" t="s">
        <v>1233</v>
      </c>
      <c r="F1220" s="54" t="s">
        <v>154</v>
      </c>
    </row>
    <row r="1221" spans="1:6" ht="12" x14ac:dyDescent="0.2">
      <c r="A1221" s="65">
        <v>31731</v>
      </c>
      <c r="B1221" s="52" t="s">
        <v>1748</v>
      </c>
      <c r="C1221" s="52" t="s">
        <v>1749</v>
      </c>
      <c r="D1221" s="53" t="s">
        <v>4698</v>
      </c>
      <c r="E1221" s="54" t="s">
        <v>36</v>
      </c>
      <c r="F1221" s="54" t="s">
        <v>36</v>
      </c>
    </row>
    <row r="1222" spans="1:6" ht="12" x14ac:dyDescent="0.2">
      <c r="A1222" s="65">
        <v>31741</v>
      </c>
      <c r="B1222" s="54" t="s">
        <v>1920</v>
      </c>
      <c r="C1222" s="54" t="s">
        <v>4699</v>
      </c>
      <c r="D1222" s="53" t="s">
        <v>4700</v>
      </c>
      <c r="E1222" s="54" t="s">
        <v>1920</v>
      </c>
      <c r="F1222" s="54" t="s">
        <v>50</v>
      </c>
    </row>
    <row r="1223" spans="1:6" ht="12" x14ac:dyDescent="0.2">
      <c r="A1223" s="66">
        <v>31770</v>
      </c>
      <c r="B1223" s="54" t="s">
        <v>1235</v>
      </c>
      <c r="C1223" s="54" t="s">
        <v>4584</v>
      </c>
      <c r="D1223" s="53" t="s">
        <v>4585</v>
      </c>
      <c r="E1223" s="54" t="s">
        <v>4586</v>
      </c>
      <c r="F1223" s="54" t="s">
        <v>84</v>
      </c>
    </row>
    <row r="1224" spans="1:6" ht="12" x14ac:dyDescent="0.2">
      <c r="A1224" s="66">
        <v>31781</v>
      </c>
      <c r="B1224" s="54" t="s">
        <v>4701</v>
      </c>
      <c r="C1224" s="54" t="s">
        <v>4702</v>
      </c>
      <c r="D1224" s="53" t="s">
        <v>3409</v>
      </c>
      <c r="E1224" s="54" t="s">
        <v>727</v>
      </c>
      <c r="F1224" s="54" t="s">
        <v>135</v>
      </c>
    </row>
    <row r="1225" spans="1:6" ht="12" x14ac:dyDescent="0.2">
      <c r="A1225" s="66">
        <v>31790</v>
      </c>
      <c r="B1225" s="54" t="s">
        <v>4703</v>
      </c>
      <c r="C1225" s="54" t="s">
        <v>4704</v>
      </c>
      <c r="D1225" s="53" t="s">
        <v>4705</v>
      </c>
      <c r="E1225" s="54" t="s">
        <v>4703</v>
      </c>
      <c r="F1225" s="54" t="s">
        <v>211</v>
      </c>
    </row>
    <row r="1226" spans="1:6" ht="12" x14ac:dyDescent="0.2">
      <c r="A1226" s="66">
        <v>31792</v>
      </c>
      <c r="B1226" s="54" t="s">
        <v>4706</v>
      </c>
      <c r="C1226" s="54" t="s">
        <v>728</v>
      </c>
      <c r="D1226" s="53" t="s">
        <v>2713</v>
      </c>
      <c r="E1226" s="54" t="s">
        <v>655</v>
      </c>
      <c r="F1226" s="54" t="s">
        <v>135</v>
      </c>
    </row>
    <row r="1227" spans="1:6" ht="12" x14ac:dyDescent="0.2">
      <c r="A1227" s="65">
        <v>33002</v>
      </c>
      <c r="B1227" s="54" t="s">
        <v>729</v>
      </c>
      <c r="C1227" s="54" t="s">
        <v>4707</v>
      </c>
      <c r="D1227" s="53" t="s">
        <v>4708</v>
      </c>
      <c r="E1227" s="54" t="s">
        <v>730</v>
      </c>
      <c r="F1227" s="54" t="s">
        <v>38</v>
      </c>
    </row>
    <row r="1228" spans="1:6" ht="12" x14ac:dyDescent="0.2">
      <c r="A1228" s="65">
        <v>33015</v>
      </c>
      <c r="B1228" s="54" t="s">
        <v>397</v>
      </c>
      <c r="C1228" s="54" t="s">
        <v>4709</v>
      </c>
      <c r="D1228" s="53" t="s">
        <v>4710</v>
      </c>
      <c r="E1228" s="54" t="s">
        <v>398</v>
      </c>
      <c r="F1228" s="54" t="s">
        <v>177</v>
      </c>
    </row>
    <row r="1229" spans="1:6" ht="12" x14ac:dyDescent="0.2">
      <c r="A1229" s="65">
        <v>33037</v>
      </c>
      <c r="B1229" s="54" t="s">
        <v>731</v>
      </c>
      <c r="C1229" s="54" t="s">
        <v>4711</v>
      </c>
      <c r="D1229" s="53" t="s">
        <v>2650</v>
      </c>
      <c r="E1229" s="54" t="s">
        <v>731</v>
      </c>
      <c r="F1229" s="54" t="s">
        <v>253</v>
      </c>
    </row>
    <row r="1230" spans="1:6" ht="12" x14ac:dyDescent="0.2">
      <c r="A1230" s="65">
        <v>33039</v>
      </c>
      <c r="B1230" s="54" t="s">
        <v>732</v>
      </c>
      <c r="C1230" s="54" t="s">
        <v>4712</v>
      </c>
      <c r="D1230" s="53" t="s">
        <v>4713</v>
      </c>
      <c r="E1230" s="54" t="s">
        <v>733</v>
      </c>
      <c r="F1230" s="54" t="s">
        <v>158</v>
      </c>
    </row>
    <row r="1231" spans="1:6" ht="12" x14ac:dyDescent="0.2">
      <c r="A1231" s="66">
        <v>33046</v>
      </c>
      <c r="B1231" s="54" t="s">
        <v>734</v>
      </c>
      <c r="C1231" s="54" t="s">
        <v>4714</v>
      </c>
      <c r="D1231" s="53" t="s">
        <v>4715</v>
      </c>
      <c r="E1231" s="54" t="s">
        <v>735</v>
      </c>
      <c r="F1231" s="54" t="s">
        <v>158</v>
      </c>
    </row>
    <row r="1232" spans="1:6" ht="12" x14ac:dyDescent="0.2">
      <c r="A1232" s="66">
        <v>33052</v>
      </c>
      <c r="B1232" s="54" t="s">
        <v>736</v>
      </c>
      <c r="C1232" s="54" t="s">
        <v>737</v>
      </c>
      <c r="D1232" s="53" t="s">
        <v>4716</v>
      </c>
      <c r="E1232" s="54" t="s">
        <v>158</v>
      </c>
      <c r="F1232" s="54" t="s">
        <v>158</v>
      </c>
    </row>
    <row r="1233" spans="1:6" ht="12" x14ac:dyDescent="0.2">
      <c r="A1233" s="66">
        <v>33053</v>
      </c>
      <c r="B1233" s="54" t="s">
        <v>738</v>
      </c>
      <c r="C1233" s="54" t="s">
        <v>4717</v>
      </c>
      <c r="D1233" s="53" t="s">
        <v>4718</v>
      </c>
      <c r="E1233" s="54" t="s">
        <v>145</v>
      </c>
      <c r="F1233" s="54" t="s">
        <v>145</v>
      </c>
    </row>
    <row r="1234" spans="1:6" ht="12" x14ac:dyDescent="0.2">
      <c r="A1234" s="66">
        <v>33057</v>
      </c>
      <c r="B1234" s="54" t="s">
        <v>739</v>
      </c>
      <c r="C1234" s="54" t="s">
        <v>4719</v>
      </c>
      <c r="D1234" s="53" t="s">
        <v>4720</v>
      </c>
      <c r="E1234" s="54" t="s">
        <v>123</v>
      </c>
      <c r="F1234" s="54" t="s">
        <v>123</v>
      </c>
    </row>
    <row r="1235" spans="1:6" ht="12" x14ac:dyDescent="0.2">
      <c r="A1235" s="66">
        <v>33060</v>
      </c>
      <c r="B1235" s="54" t="s">
        <v>399</v>
      </c>
      <c r="C1235" s="54" t="s">
        <v>4721</v>
      </c>
      <c r="D1235" s="53" t="s">
        <v>4722</v>
      </c>
      <c r="E1235" s="54" t="s">
        <v>400</v>
      </c>
      <c r="F1235" s="54" t="s">
        <v>38</v>
      </c>
    </row>
    <row r="1236" spans="1:6" ht="12" x14ac:dyDescent="0.2">
      <c r="A1236" s="66">
        <v>33073</v>
      </c>
      <c r="B1236" s="54" t="s">
        <v>4723</v>
      </c>
      <c r="C1236" s="54" t="s">
        <v>4724</v>
      </c>
      <c r="D1236" s="53" t="s">
        <v>4725</v>
      </c>
      <c r="E1236" s="54" t="s">
        <v>740</v>
      </c>
      <c r="F1236" s="54" t="s">
        <v>65</v>
      </c>
    </row>
    <row r="1237" spans="1:6" ht="12" x14ac:dyDescent="0.2">
      <c r="A1237" s="65">
        <v>33076</v>
      </c>
      <c r="B1237" s="54" t="s">
        <v>4726</v>
      </c>
      <c r="C1237" s="54" t="s">
        <v>4727</v>
      </c>
      <c r="D1237" s="53" t="s">
        <v>4728</v>
      </c>
      <c r="E1237" s="54" t="s">
        <v>741</v>
      </c>
      <c r="F1237" s="54" t="s">
        <v>171</v>
      </c>
    </row>
    <row r="1238" spans="1:6" ht="12" x14ac:dyDescent="0.2">
      <c r="A1238" s="65">
        <v>33076</v>
      </c>
      <c r="B1238" s="54" t="s">
        <v>4726</v>
      </c>
      <c r="C1238" s="54" t="s">
        <v>4727</v>
      </c>
      <c r="D1238" s="53" t="s">
        <v>4728</v>
      </c>
      <c r="E1238" s="54" t="s">
        <v>741</v>
      </c>
      <c r="F1238" s="54" t="s">
        <v>171</v>
      </c>
    </row>
    <row r="1239" spans="1:6" ht="12" x14ac:dyDescent="0.2">
      <c r="A1239" s="65">
        <v>33083</v>
      </c>
      <c r="B1239" s="54" t="s">
        <v>4729</v>
      </c>
      <c r="C1239" s="54" t="s">
        <v>4730</v>
      </c>
      <c r="D1239" s="53" t="s">
        <v>4731</v>
      </c>
      <c r="E1239" s="54" t="s">
        <v>2840</v>
      </c>
      <c r="F1239" s="54" t="s">
        <v>2840</v>
      </c>
    </row>
    <row r="1240" spans="1:6" ht="12" x14ac:dyDescent="0.2">
      <c r="A1240" s="65">
        <v>33086</v>
      </c>
      <c r="B1240" s="54" t="s">
        <v>742</v>
      </c>
      <c r="C1240" s="54" t="s">
        <v>4732</v>
      </c>
      <c r="D1240" s="53" t="s">
        <v>2536</v>
      </c>
      <c r="E1240" s="54" t="s">
        <v>179</v>
      </c>
      <c r="F1240" s="54" t="s">
        <v>179</v>
      </c>
    </row>
    <row r="1241" spans="1:6" ht="12" x14ac:dyDescent="0.2">
      <c r="A1241" s="66">
        <v>33093</v>
      </c>
      <c r="B1241" s="54" t="s">
        <v>743</v>
      </c>
      <c r="C1241" s="54" t="s">
        <v>744</v>
      </c>
      <c r="D1241" s="53" t="s">
        <v>4733</v>
      </c>
      <c r="E1241" s="54" t="s">
        <v>84</v>
      </c>
      <c r="F1241" s="54" t="s">
        <v>84</v>
      </c>
    </row>
    <row r="1242" spans="1:6" ht="12" x14ac:dyDescent="0.2">
      <c r="A1242" s="65">
        <v>33099</v>
      </c>
      <c r="B1242" s="54" t="s">
        <v>745</v>
      </c>
      <c r="C1242" s="54" t="s">
        <v>4734</v>
      </c>
      <c r="D1242" s="53" t="s">
        <v>4735</v>
      </c>
      <c r="E1242" s="54" t="s">
        <v>745</v>
      </c>
      <c r="F1242" s="54" t="s">
        <v>154</v>
      </c>
    </row>
    <row r="1243" spans="1:6" ht="12" x14ac:dyDescent="0.2">
      <c r="A1243" s="66">
        <v>33103</v>
      </c>
      <c r="B1243" s="54" t="s">
        <v>4736</v>
      </c>
      <c r="C1243" s="54" t="s">
        <v>4737</v>
      </c>
      <c r="D1243" s="53" t="s">
        <v>4738</v>
      </c>
      <c r="E1243" s="54" t="s">
        <v>746</v>
      </c>
      <c r="F1243" s="54" t="s">
        <v>116</v>
      </c>
    </row>
    <row r="1244" spans="1:6" ht="12" x14ac:dyDescent="0.2">
      <c r="A1244" s="66">
        <v>33103</v>
      </c>
      <c r="B1244" s="54" t="s">
        <v>4736</v>
      </c>
      <c r="C1244" s="54" t="s">
        <v>4737</v>
      </c>
      <c r="D1244" s="53" t="s">
        <v>4738</v>
      </c>
      <c r="E1244" s="54" t="s">
        <v>746</v>
      </c>
      <c r="F1244" s="54" t="s">
        <v>116</v>
      </c>
    </row>
    <row r="1245" spans="1:6" ht="12" x14ac:dyDescent="0.2">
      <c r="A1245" s="66">
        <v>33104</v>
      </c>
      <c r="B1245" s="54" t="s">
        <v>4739</v>
      </c>
      <c r="C1245" s="54" t="s">
        <v>4740</v>
      </c>
      <c r="D1245" s="53" t="s">
        <v>4731</v>
      </c>
      <c r="E1245" s="54" t="s">
        <v>2840</v>
      </c>
      <c r="F1245" s="54" t="s">
        <v>2840</v>
      </c>
    </row>
    <row r="1246" spans="1:6" ht="12" x14ac:dyDescent="0.2">
      <c r="A1246" s="66">
        <v>33107</v>
      </c>
      <c r="B1246" s="54" t="s">
        <v>118</v>
      </c>
      <c r="C1246" s="54" t="s">
        <v>4741</v>
      </c>
      <c r="D1246" s="53" t="s">
        <v>4132</v>
      </c>
      <c r="E1246" s="54" t="s">
        <v>118</v>
      </c>
      <c r="F1246" s="54" t="s">
        <v>118</v>
      </c>
    </row>
    <row r="1247" spans="1:6" ht="12" x14ac:dyDescent="0.2">
      <c r="A1247" s="65">
        <v>33108</v>
      </c>
      <c r="B1247" s="54" t="s">
        <v>4742</v>
      </c>
      <c r="C1247" s="54" t="s">
        <v>4743</v>
      </c>
      <c r="D1247" s="53" t="s">
        <v>2989</v>
      </c>
      <c r="E1247" s="54" t="s">
        <v>84</v>
      </c>
      <c r="F1247" s="54" t="s">
        <v>84</v>
      </c>
    </row>
    <row r="1248" spans="1:6" ht="12" x14ac:dyDescent="0.2">
      <c r="A1248" s="65">
        <v>33111</v>
      </c>
      <c r="B1248" s="54" t="s">
        <v>401</v>
      </c>
      <c r="C1248" s="54" t="s">
        <v>4744</v>
      </c>
      <c r="D1248" s="53" t="s">
        <v>4745</v>
      </c>
      <c r="E1248" s="54" t="s">
        <v>402</v>
      </c>
      <c r="F1248" s="54" t="s">
        <v>116</v>
      </c>
    </row>
    <row r="1249" spans="1:6" ht="12" x14ac:dyDescent="0.2">
      <c r="A1249" s="65">
        <v>33125</v>
      </c>
      <c r="B1249" s="54" t="s">
        <v>403</v>
      </c>
      <c r="C1249" s="54" t="s">
        <v>4746</v>
      </c>
      <c r="D1249" s="53" t="s">
        <v>4747</v>
      </c>
      <c r="E1249" s="54" t="s">
        <v>403</v>
      </c>
      <c r="F1249" s="54" t="s">
        <v>101</v>
      </c>
    </row>
    <row r="1250" spans="1:6" ht="12" x14ac:dyDescent="0.2">
      <c r="A1250" s="66">
        <v>33130</v>
      </c>
      <c r="B1250" s="54" t="s">
        <v>747</v>
      </c>
      <c r="C1250" s="54" t="s">
        <v>4748</v>
      </c>
      <c r="D1250" s="53" t="s">
        <v>4749</v>
      </c>
      <c r="E1250" s="54" t="s">
        <v>748</v>
      </c>
      <c r="F1250" s="54" t="s">
        <v>116</v>
      </c>
    </row>
    <row r="1251" spans="1:6" ht="12" x14ac:dyDescent="0.2">
      <c r="A1251" s="66">
        <v>33131</v>
      </c>
      <c r="B1251" s="54" t="s">
        <v>749</v>
      </c>
      <c r="C1251" s="54" t="s">
        <v>4750</v>
      </c>
      <c r="D1251" s="53" t="s">
        <v>3852</v>
      </c>
      <c r="E1251" s="54" t="s">
        <v>670</v>
      </c>
      <c r="F1251" s="54" t="s">
        <v>116</v>
      </c>
    </row>
    <row r="1252" spans="1:6" ht="12" x14ac:dyDescent="0.2">
      <c r="A1252" s="65">
        <v>33132</v>
      </c>
      <c r="B1252" s="54" t="s">
        <v>750</v>
      </c>
      <c r="C1252" s="54" t="s">
        <v>4751</v>
      </c>
      <c r="D1252" s="53" t="s">
        <v>4752</v>
      </c>
      <c r="E1252" s="54" t="s">
        <v>750</v>
      </c>
      <c r="F1252" s="54" t="s">
        <v>177</v>
      </c>
    </row>
    <row r="1253" spans="1:6" ht="12" x14ac:dyDescent="0.2">
      <c r="A1253" s="66">
        <v>33133</v>
      </c>
      <c r="B1253" s="54" t="s">
        <v>751</v>
      </c>
      <c r="C1253" s="54" t="s">
        <v>4753</v>
      </c>
      <c r="D1253" s="53" t="s">
        <v>4754</v>
      </c>
      <c r="E1253" s="54" t="s">
        <v>752</v>
      </c>
      <c r="F1253" s="54" t="s">
        <v>48</v>
      </c>
    </row>
    <row r="1254" spans="1:6" ht="12" x14ac:dyDescent="0.2">
      <c r="A1254" s="65">
        <v>33144</v>
      </c>
      <c r="B1254" s="54" t="s">
        <v>4755</v>
      </c>
      <c r="C1254" s="54" t="s">
        <v>4756</v>
      </c>
      <c r="D1254" s="53" t="s">
        <v>4757</v>
      </c>
      <c r="E1254" s="54" t="s">
        <v>4755</v>
      </c>
      <c r="F1254" s="54" t="s">
        <v>149</v>
      </c>
    </row>
    <row r="1255" spans="1:6" ht="12" x14ac:dyDescent="0.2">
      <c r="A1255" s="65">
        <v>33152</v>
      </c>
      <c r="B1255" s="54" t="s">
        <v>404</v>
      </c>
      <c r="C1255" s="54" t="s">
        <v>4758</v>
      </c>
      <c r="D1255" s="53" t="s">
        <v>4759</v>
      </c>
      <c r="E1255" s="54" t="s">
        <v>82</v>
      </c>
      <c r="F1255" s="54" t="s">
        <v>82</v>
      </c>
    </row>
    <row r="1256" spans="1:6" ht="12" x14ac:dyDescent="0.2">
      <c r="A1256" s="65">
        <v>33172</v>
      </c>
      <c r="B1256" s="54" t="s">
        <v>405</v>
      </c>
      <c r="C1256" s="54" t="s">
        <v>4760</v>
      </c>
      <c r="D1256" s="53" t="s">
        <v>2687</v>
      </c>
      <c r="E1256" s="54" t="s">
        <v>84</v>
      </c>
      <c r="F1256" s="54" t="s">
        <v>84</v>
      </c>
    </row>
    <row r="1257" spans="1:6" ht="12" x14ac:dyDescent="0.2">
      <c r="A1257" s="65">
        <v>33178</v>
      </c>
      <c r="B1257" s="54" t="s">
        <v>4761</v>
      </c>
      <c r="C1257" s="54" t="s">
        <v>4762</v>
      </c>
      <c r="D1257" s="53" t="s">
        <v>4763</v>
      </c>
      <c r="E1257" s="54" t="s">
        <v>4761</v>
      </c>
      <c r="F1257" s="54" t="s">
        <v>158</v>
      </c>
    </row>
    <row r="1258" spans="1:6" ht="12" x14ac:dyDescent="0.2">
      <c r="A1258" s="65">
        <v>33197</v>
      </c>
      <c r="B1258" s="54" t="s">
        <v>753</v>
      </c>
      <c r="C1258" s="54" t="s">
        <v>4764</v>
      </c>
      <c r="D1258" s="53" t="s">
        <v>4765</v>
      </c>
      <c r="E1258" s="54" t="s">
        <v>753</v>
      </c>
      <c r="F1258" s="54" t="s">
        <v>123</v>
      </c>
    </row>
    <row r="1259" spans="1:6" ht="12" x14ac:dyDescent="0.2">
      <c r="A1259" s="65">
        <v>33202</v>
      </c>
      <c r="B1259" s="54" t="s">
        <v>2014</v>
      </c>
      <c r="C1259" s="54" t="s">
        <v>4766</v>
      </c>
      <c r="D1259" s="53" t="s">
        <v>4767</v>
      </c>
      <c r="E1259" s="54" t="s">
        <v>2015</v>
      </c>
      <c r="F1259" s="54" t="s">
        <v>154</v>
      </c>
    </row>
    <row r="1260" spans="1:6" ht="12" x14ac:dyDescent="0.2">
      <c r="A1260" s="65">
        <v>33204</v>
      </c>
      <c r="B1260" s="54" t="s">
        <v>406</v>
      </c>
      <c r="C1260" s="54" t="s">
        <v>4768</v>
      </c>
      <c r="D1260" s="53" t="s">
        <v>4769</v>
      </c>
      <c r="E1260" s="54" t="s">
        <v>36</v>
      </c>
      <c r="F1260" s="54" t="s">
        <v>36</v>
      </c>
    </row>
    <row r="1261" spans="1:6" ht="12" x14ac:dyDescent="0.2">
      <c r="A1261" s="65">
        <v>33207</v>
      </c>
      <c r="B1261" s="54" t="s">
        <v>4770</v>
      </c>
      <c r="C1261" s="54" t="s">
        <v>4771</v>
      </c>
      <c r="D1261" s="53" t="s">
        <v>4772</v>
      </c>
      <c r="E1261" s="54" t="s">
        <v>704</v>
      </c>
      <c r="F1261" s="54" t="s">
        <v>158</v>
      </c>
    </row>
    <row r="1262" spans="1:6" ht="12" x14ac:dyDescent="0.2">
      <c r="A1262" s="65">
        <v>33211</v>
      </c>
      <c r="B1262" s="54" t="s">
        <v>754</v>
      </c>
      <c r="C1262" s="54" t="s">
        <v>4773</v>
      </c>
      <c r="D1262" s="53" t="s">
        <v>4774</v>
      </c>
      <c r="E1262" s="54" t="s">
        <v>754</v>
      </c>
      <c r="F1262" s="54" t="s">
        <v>48</v>
      </c>
    </row>
    <row r="1263" spans="1:6" ht="12" x14ac:dyDescent="0.2">
      <c r="A1263" s="65">
        <v>33213</v>
      </c>
      <c r="B1263" s="54" t="s">
        <v>755</v>
      </c>
      <c r="C1263" s="54" t="s">
        <v>4775</v>
      </c>
      <c r="D1263" s="53" t="s">
        <v>4776</v>
      </c>
      <c r="E1263" s="54" t="s">
        <v>755</v>
      </c>
      <c r="F1263" s="54" t="s">
        <v>97</v>
      </c>
    </row>
    <row r="1264" spans="1:6" ht="12" x14ac:dyDescent="0.2">
      <c r="A1264" s="65">
        <v>33215</v>
      </c>
      <c r="B1264" s="54" t="s">
        <v>407</v>
      </c>
      <c r="C1264" s="54" t="s">
        <v>4777</v>
      </c>
      <c r="D1264" s="53" t="s">
        <v>4778</v>
      </c>
      <c r="E1264" s="54" t="s">
        <v>408</v>
      </c>
      <c r="F1264" s="54" t="s">
        <v>84</v>
      </c>
    </row>
    <row r="1265" spans="1:6" ht="12" x14ac:dyDescent="0.2">
      <c r="A1265" s="65">
        <v>33218</v>
      </c>
      <c r="B1265" s="54" t="s">
        <v>409</v>
      </c>
      <c r="C1265" s="54" t="s">
        <v>4779</v>
      </c>
      <c r="D1265" s="53" t="s">
        <v>2672</v>
      </c>
      <c r="E1265" s="54" t="s">
        <v>410</v>
      </c>
      <c r="F1265" s="54" t="s">
        <v>123</v>
      </c>
    </row>
    <row r="1266" spans="1:6" ht="12" x14ac:dyDescent="0.2">
      <c r="A1266" s="65">
        <v>33225</v>
      </c>
      <c r="B1266" s="54" t="s">
        <v>1750</v>
      </c>
      <c r="C1266" s="54" t="s">
        <v>4780</v>
      </c>
      <c r="D1266" s="53" t="s">
        <v>2491</v>
      </c>
      <c r="E1266" s="54" t="s">
        <v>91</v>
      </c>
      <c r="F1266" s="54" t="s">
        <v>84</v>
      </c>
    </row>
    <row r="1267" spans="1:6" ht="12" x14ac:dyDescent="0.2">
      <c r="A1267" s="65">
        <v>33258</v>
      </c>
      <c r="B1267" s="54" t="s">
        <v>411</v>
      </c>
      <c r="C1267" s="54" t="s">
        <v>4781</v>
      </c>
      <c r="D1267" s="53" t="s">
        <v>4782</v>
      </c>
      <c r="E1267" s="54" t="s">
        <v>4783</v>
      </c>
      <c r="F1267" s="54" t="s">
        <v>50</v>
      </c>
    </row>
    <row r="1268" spans="1:6" ht="12" x14ac:dyDescent="0.2">
      <c r="A1268" s="65">
        <v>33258</v>
      </c>
      <c r="B1268" s="54" t="s">
        <v>411</v>
      </c>
      <c r="C1268" s="54" t="s">
        <v>4781</v>
      </c>
      <c r="D1268" s="53" t="s">
        <v>4782</v>
      </c>
      <c r="E1268" s="54" t="s">
        <v>4783</v>
      </c>
      <c r="F1268" s="54" t="s">
        <v>50</v>
      </c>
    </row>
    <row r="1269" spans="1:6" ht="12" x14ac:dyDescent="0.2">
      <c r="A1269" s="65">
        <v>33260</v>
      </c>
      <c r="B1269" s="54" t="s">
        <v>756</v>
      </c>
      <c r="C1269" s="54" t="s">
        <v>4784</v>
      </c>
      <c r="D1269" s="53" t="s">
        <v>4785</v>
      </c>
      <c r="E1269" s="54" t="s">
        <v>177</v>
      </c>
      <c r="F1269" s="54" t="s">
        <v>177</v>
      </c>
    </row>
    <row r="1270" spans="1:6" ht="12" x14ac:dyDescent="0.2">
      <c r="A1270" s="65">
        <v>33267</v>
      </c>
      <c r="B1270" s="54" t="s">
        <v>4786</v>
      </c>
      <c r="C1270" s="54" t="s">
        <v>4787</v>
      </c>
      <c r="D1270" s="53" t="s">
        <v>4788</v>
      </c>
      <c r="E1270" s="54" t="s">
        <v>757</v>
      </c>
      <c r="F1270" s="54" t="s">
        <v>342</v>
      </c>
    </row>
    <row r="1271" spans="1:6" ht="12" x14ac:dyDescent="0.2">
      <c r="A1271" s="65">
        <v>33267</v>
      </c>
      <c r="B1271" s="54" t="s">
        <v>4786</v>
      </c>
      <c r="C1271" s="54" t="s">
        <v>4787</v>
      </c>
      <c r="D1271" s="53" t="s">
        <v>4788</v>
      </c>
      <c r="E1271" s="54" t="s">
        <v>757</v>
      </c>
      <c r="F1271" s="54" t="s">
        <v>342</v>
      </c>
    </row>
    <row r="1272" spans="1:6" ht="12" x14ac:dyDescent="0.2">
      <c r="A1272" s="65">
        <v>33270</v>
      </c>
      <c r="B1272" s="54" t="s">
        <v>412</v>
      </c>
      <c r="C1272" s="54" t="s">
        <v>4789</v>
      </c>
      <c r="D1272" s="53" t="s">
        <v>4790</v>
      </c>
      <c r="E1272" s="54" t="s">
        <v>413</v>
      </c>
      <c r="F1272" s="54" t="s">
        <v>84</v>
      </c>
    </row>
    <row r="1273" spans="1:6" ht="12" x14ac:dyDescent="0.2">
      <c r="A1273" s="66">
        <v>33272</v>
      </c>
      <c r="B1273" s="54" t="s">
        <v>1236</v>
      </c>
      <c r="C1273" s="54" t="s">
        <v>4791</v>
      </c>
      <c r="D1273" s="53" t="s">
        <v>4792</v>
      </c>
      <c r="E1273" s="54" t="s">
        <v>84</v>
      </c>
      <c r="F1273" s="54" t="s">
        <v>84</v>
      </c>
    </row>
    <row r="1274" spans="1:6" ht="12" x14ac:dyDescent="0.2">
      <c r="A1274" s="66">
        <v>33275</v>
      </c>
      <c r="B1274" s="54" t="s">
        <v>4793</v>
      </c>
      <c r="C1274" s="54" t="s">
        <v>4794</v>
      </c>
      <c r="D1274" s="53" t="s">
        <v>4650</v>
      </c>
      <c r="E1274" s="54" t="s">
        <v>758</v>
      </c>
      <c r="F1274" s="54" t="s">
        <v>82</v>
      </c>
    </row>
    <row r="1275" spans="1:6" ht="12" x14ac:dyDescent="0.2">
      <c r="A1275" s="65">
        <v>33284</v>
      </c>
      <c r="B1275" s="54" t="s">
        <v>414</v>
      </c>
      <c r="C1275" s="54" t="s">
        <v>4795</v>
      </c>
      <c r="D1275" s="53" t="s">
        <v>4796</v>
      </c>
      <c r="E1275" s="54" t="s">
        <v>414</v>
      </c>
      <c r="F1275" s="54" t="s">
        <v>65</v>
      </c>
    </row>
    <row r="1276" spans="1:6" ht="12" x14ac:dyDescent="0.2">
      <c r="A1276" s="65">
        <v>33288</v>
      </c>
      <c r="B1276" s="54" t="s">
        <v>602</v>
      </c>
      <c r="C1276" s="54" t="s">
        <v>4797</v>
      </c>
      <c r="D1276" s="53" t="s">
        <v>3332</v>
      </c>
      <c r="E1276" s="54" t="s">
        <v>602</v>
      </c>
      <c r="F1276" s="54" t="s">
        <v>152</v>
      </c>
    </row>
    <row r="1277" spans="1:6" ht="12" x14ac:dyDescent="0.2">
      <c r="A1277" s="65">
        <v>33290</v>
      </c>
      <c r="B1277" s="54" t="s">
        <v>759</v>
      </c>
      <c r="C1277" s="54" t="s">
        <v>760</v>
      </c>
      <c r="D1277" s="53" t="s">
        <v>4798</v>
      </c>
      <c r="E1277" s="54" t="s">
        <v>82</v>
      </c>
      <c r="F1277" s="54" t="s">
        <v>82</v>
      </c>
    </row>
    <row r="1278" spans="1:6" ht="12" x14ac:dyDescent="0.2">
      <c r="A1278" s="65">
        <v>33293</v>
      </c>
      <c r="B1278" s="54" t="s">
        <v>761</v>
      </c>
      <c r="C1278" s="54" t="s">
        <v>4799</v>
      </c>
      <c r="D1278" s="53" t="s">
        <v>4800</v>
      </c>
      <c r="E1278" s="54" t="s">
        <v>761</v>
      </c>
      <c r="F1278" s="54" t="s">
        <v>80</v>
      </c>
    </row>
    <row r="1279" spans="1:6" ht="12" x14ac:dyDescent="0.2">
      <c r="A1279" s="65">
        <v>33293</v>
      </c>
      <c r="B1279" s="52" t="s">
        <v>761</v>
      </c>
      <c r="C1279" s="52" t="s">
        <v>4799</v>
      </c>
      <c r="D1279" s="53" t="s">
        <v>4800</v>
      </c>
      <c r="E1279" s="54" t="s">
        <v>761</v>
      </c>
      <c r="F1279" s="54" t="s">
        <v>80</v>
      </c>
    </row>
    <row r="1280" spans="1:6" ht="12" x14ac:dyDescent="0.2">
      <c r="A1280" s="66">
        <v>33312</v>
      </c>
      <c r="B1280" s="54" t="s">
        <v>762</v>
      </c>
      <c r="C1280" s="54" t="s">
        <v>4801</v>
      </c>
      <c r="D1280" s="53" t="s">
        <v>4802</v>
      </c>
      <c r="E1280" s="54" t="s">
        <v>763</v>
      </c>
      <c r="F1280" s="54" t="s">
        <v>211</v>
      </c>
    </row>
    <row r="1281" spans="1:6" ht="12" x14ac:dyDescent="0.2">
      <c r="A1281" s="65">
        <v>33314</v>
      </c>
      <c r="B1281" s="54" t="s">
        <v>764</v>
      </c>
      <c r="C1281" s="54" t="s">
        <v>4803</v>
      </c>
      <c r="D1281" s="53" t="s">
        <v>4802</v>
      </c>
      <c r="E1281" s="54" t="s">
        <v>763</v>
      </c>
      <c r="F1281" s="54" t="s">
        <v>211</v>
      </c>
    </row>
    <row r="1282" spans="1:6" ht="12" x14ac:dyDescent="0.2">
      <c r="A1282" s="65">
        <v>33316</v>
      </c>
      <c r="B1282" s="54" t="s">
        <v>415</v>
      </c>
      <c r="C1282" s="54" t="s">
        <v>4804</v>
      </c>
      <c r="D1282" s="53" t="s">
        <v>4805</v>
      </c>
      <c r="E1282" s="54" t="s">
        <v>82</v>
      </c>
      <c r="F1282" s="54" t="s">
        <v>82</v>
      </c>
    </row>
    <row r="1283" spans="1:6" ht="12" x14ac:dyDescent="0.2">
      <c r="A1283" s="65">
        <v>33321</v>
      </c>
      <c r="B1283" s="54" t="s">
        <v>1972</v>
      </c>
      <c r="C1283" s="54" t="s">
        <v>4806</v>
      </c>
      <c r="D1283" s="53" t="s">
        <v>2700</v>
      </c>
      <c r="E1283" s="54" t="s">
        <v>765</v>
      </c>
      <c r="F1283" s="54" t="s">
        <v>116</v>
      </c>
    </row>
    <row r="1284" spans="1:6" ht="12" x14ac:dyDescent="0.2">
      <c r="A1284" s="65">
        <v>33323</v>
      </c>
      <c r="B1284" s="54" t="s">
        <v>766</v>
      </c>
      <c r="C1284" s="54" t="s">
        <v>1979</v>
      </c>
      <c r="D1284" s="53" t="s">
        <v>4807</v>
      </c>
      <c r="E1284" s="54" t="s">
        <v>766</v>
      </c>
      <c r="F1284" s="54" t="s">
        <v>37</v>
      </c>
    </row>
    <row r="1285" spans="1:6" ht="12" x14ac:dyDescent="0.2">
      <c r="A1285" s="65">
        <v>33328</v>
      </c>
      <c r="B1285" s="54" t="s">
        <v>1751</v>
      </c>
      <c r="C1285" s="54" t="s">
        <v>4808</v>
      </c>
      <c r="D1285" s="53" t="s">
        <v>4809</v>
      </c>
      <c r="E1285" s="54" t="s">
        <v>1751</v>
      </c>
      <c r="F1285" s="54" t="s">
        <v>211</v>
      </c>
    </row>
    <row r="1286" spans="1:6" ht="12" x14ac:dyDescent="0.2">
      <c r="A1286" s="65">
        <v>33348</v>
      </c>
      <c r="B1286" s="54" t="s">
        <v>4810</v>
      </c>
      <c r="C1286" s="54" t="s">
        <v>4811</v>
      </c>
      <c r="D1286" s="53" t="s">
        <v>3093</v>
      </c>
      <c r="E1286" s="54" t="s">
        <v>568</v>
      </c>
      <c r="F1286" s="54" t="s">
        <v>152</v>
      </c>
    </row>
    <row r="1287" spans="1:6" ht="12" x14ac:dyDescent="0.2">
      <c r="A1287" s="65">
        <v>33361</v>
      </c>
      <c r="B1287" s="54" t="s">
        <v>416</v>
      </c>
      <c r="C1287" s="54" t="s">
        <v>4812</v>
      </c>
      <c r="D1287" s="53" t="s">
        <v>4813</v>
      </c>
      <c r="E1287" s="54" t="s">
        <v>416</v>
      </c>
      <c r="F1287" s="54" t="s">
        <v>99</v>
      </c>
    </row>
    <row r="1288" spans="1:6" ht="12" x14ac:dyDescent="0.2">
      <c r="A1288" s="65">
        <v>33366</v>
      </c>
      <c r="B1288" s="54" t="s">
        <v>2139</v>
      </c>
      <c r="C1288" s="54" t="s">
        <v>4814</v>
      </c>
      <c r="D1288" s="53" t="s">
        <v>3763</v>
      </c>
      <c r="E1288" s="54" t="s">
        <v>563</v>
      </c>
      <c r="F1288" s="54" t="s">
        <v>108</v>
      </c>
    </row>
    <row r="1289" spans="1:6" ht="12" x14ac:dyDescent="0.2">
      <c r="A1289" s="65">
        <v>33367</v>
      </c>
      <c r="B1289" s="54" t="s">
        <v>4815</v>
      </c>
      <c r="C1289" s="54" t="s">
        <v>4816</v>
      </c>
      <c r="D1289" s="53" t="s">
        <v>4817</v>
      </c>
      <c r="E1289" s="54" t="s">
        <v>4815</v>
      </c>
      <c r="F1289" s="54" t="s">
        <v>108</v>
      </c>
    </row>
    <row r="1290" spans="1:6" ht="12" x14ac:dyDescent="0.2">
      <c r="A1290" s="65">
        <v>33368</v>
      </c>
      <c r="B1290" s="54" t="s">
        <v>4818</v>
      </c>
      <c r="C1290" s="54" t="s">
        <v>4819</v>
      </c>
      <c r="D1290" s="53" t="s">
        <v>3763</v>
      </c>
      <c r="E1290" s="54" t="s">
        <v>563</v>
      </c>
      <c r="F1290" s="54" t="s">
        <v>108</v>
      </c>
    </row>
    <row r="1291" spans="1:6" ht="12" x14ac:dyDescent="0.2">
      <c r="A1291" s="65">
        <v>33372</v>
      </c>
      <c r="B1291" s="54" t="s">
        <v>4820</v>
      </c>
      <c r="C1291" s="54" t="s">
        <v>767</v>
      </c>
      <c r="D1291" s="53" t="s">
        <v>4821</v>
      </c>
      <c r="E1291" s="54" t="s">
        <v>768</v>
      </c>
      <c r="F1291" s="54" t="s">
        <v>239</v>
      </c>
    </row>
    <row r="1292" spans="1:6" ht="12" x14ac:dyDescent="0.2">
      <c r="A1292" s="65">
        <v>33375</v>
      </c>
      <c r="B1292" s="54" t="s">
        <v>1752</v>
      </c>
      <c r="C1292" s="54" t="s">
        <v>4822</v>
      </c>
      <c r="D1292" s="53" t="s">
        <v>3404</v>
      </c>
      <c r="E1292" s="54" t="s">
        <v>1446</v>
      </c>
      <c r="F1292" s="54" t="s">
        <v>211</v>
      </c>
    </row>
    <row r="1293" spans="1:6" ht="12" x14ac:dyDescent="0.2">
      <c r="A1293" s="65">
        <v>33376</v>
      </c>
      <c r="B1293" s="54" t="s">
        <v>769</v>
      </c>
      <c r="C1293" s="54" t="s">
        <v>4823</v>
      </c>
      <c r="D1293" s="53" t="s">
        <v>4824</v>
      </c>
      <c r="E1293" s="54" t="s">
        <v>770</v>
      </c>
      <c r="F1293" s="54" t="s">
        <v>135</v>
      </c>
    </row>
    <row r="1294" spans="1:6" ht="12" x14ac:dyDescent="0.2">
      <c r="A1294" s="65">
        <v>33384</v>
      </c>
      <c r="B1294" s="54" t="s">
        <v>4825</v>
      </c>
      <c r="C1294" s="54" t="s">
        <v>4826</v>
      </c>
      <c r="D1294" s="53" t="s">
        <v>4827</v>
      </c>
      <c r="E1294" s="54" t="s">
        <v>771</v>
      </c>
      <c r="F1294" s="54" t="s">
        <v>50</v>
      </c>
    </row>
    <row r="1295" spans="1:6" ht="12" x14ac:dyDescent="0.2">
      <c r="A1295" s="65">
        <v>33387</v>
      </c>
      <c r="B1295" s="54" t="s">
        <v>772</v>
      </c>
      <c r="C1295" s="54" t="s">
        <v>4828</v>
      </c>
      <c r="D1295" s="53" t="s">
        <v>4597</v>
      </c>
      <c r="E1295" s="54" t="s">
        <v>773</v>
      </c>
      <c r="F1295" s="54" t="s">
        <v>82</v>
      </c>
    </row>
    <row r="1296" spans="1:6" ht="12" x14ac:dyDescent="0.2">
      <c r="A1296" s="65">
        <v>33388</v>
      </c>
      <c r="B1296" s="54" t="s">
        <v>1237</v>
      </c>
      <c r="C1296" s="54" t="s">
        <v>3555</v>
      </c>
      <c r="D1296" s="53" t="s">
        <v>3556</v>
      </c>
      <c r="E1296" s="54" t="s">
        <v>1102</v>
      </c>
      <c r="F1296" s="54" t="s">
        <v>82</v>
      </c>
    </row>
    <row r="1297" spans="1:6" ht="12" x14ac:dyDescent="0.2">
      <c r="A1297" s="65">
        <v>33396</v>
      </c>
      <c r="B1297" s="54" t="s">
        <v>2016</v>
      </c>
      <c r="C1297" s="54" t="s">
        <v>4829</v>
      </c>
      <c r="D1297" s="53" t="s">
        <v>4830</v>
      </c>
      <c r="E1297" s="54" t="s">
        <v>2017</v>
      </c>
      <c r="F1297" s="54" t="s">
        <v>179</v>
      </c>
    </row>
    <row r="1298" spans="1:6" ht="12" x14ac:dyDescent="0.2">
      <c r="A1298" s="65">
        <v>33397</v>
      </c>
      <c r="B1298" s="54" t="s">
        <v>4831</v>
      </c>
      <c r="C1298" s="54" t="s">
        <v>4832</v>
      </c>
      <c r="D1298" s="53" t="s">
        <v>4833</v>
      </c>
      <c r="E1298" s="54" t="s">
        <v>1238</v>
      </c>
      <c r="F1298" s="54" t="s">
        <v>174</v>
      </c>
    </row>
    <row r="1299" spans="1:6" ht="12" x14ac:dyDescent="0.2">
      <c r="A1299" s="65">
        <v>33400</v>
      </c>
      <c r="B1299" s="54" t="s">
        <v>774</v>
      </c>
      <c r="C1299" s="54" t="s">
        <v>4834</v>
      </c>
      <c r="D1299" s="53" t="s">
        <v>4835</v>
      </c>
      <c r="E1299" s="54" t="s">
        <v>775</v>
      </c>
      <c r="F1299" s="54" t="s">
        <v>135</v>
      </c>
    </row>
    <row r="1300" spans="1:6" ht="12" x14ac:dyDescent="0.2">
      <c r="A1300" s="65">
        <v>33402</v>
      </c>
      <c r="B1300" s="54" t="s">
        <v>614</v>
      </c>
      <c r="C1300" s="54" t="s">
        <v>4836</v>
      </c>
      <c r="D1300" s="53" t="s">
        <v>3424</v>
      </c>
      <c r="E1300" s="54" t="s">
        <v>614</v>
      </c>
      <c r="F1300" s="54" t="s">
        <v>135</v>
      </c>
    </row>
    <row r="1301" spans="1:6" ht="12" x14ac:dyDescent="0.2">
      <c r="A1301" s="65">
        <v>33403</v>
      </c>
      <c r="B1301" s="54" t="s">
        <v>776</v>
      </c>
      <c r="C1301" s="54" t="s">
        <v>777</v>
      </c>
      <c r="D1301" s="53" t="s">
        <v>4837</v>
      </c>
      <c r="E1301" s="54" t="s">
        <v>648</v>
      </c>
      <c r="F1301" s="54" t="s">
        <v>135</v>
      </c>
    </row>
    <row r="1302" spans="1:6" ht="12" x14ac:dyDescent="0.2">
      <c r="A1302" s="65">
        <v>33407</v>
      </c>
      <c r="B1302" s="54" t="s">
        <v>778</v>
      </c>
      <c r="C1302" s="54" t="s">
        <v>4838</v>
      </c>
      <c r="D1302" s="53" t="s">
        <v>2587</v>
      </c>
      <c r="E1302" s="54" t="s">
        <v>778</v>
      </c>
      <c r="F1302" s="54" t="s">
        <v>80</v>
      </c>
    </row>
    <row r="1303" spans="1:6" ht="12" x14ac:dyDescent="0.2">
      <c r="A1303" s="66">
        <v>33407</v>
      </c>
      <c r="B1303" s="54" t="s">
        <v>778</v>
      </c>
      <c r="C1303" s="54" t="s">
        <v>4838</v>
      </c>
      <c r="D1303" s="53" t="s">
        <v>2587</v>
      </c>
      <c r="E1303" s="54" t="s">
        <v>778</v>
      </c>
      <c r="F1303" s="54" t="s">
        <v>80</v>
      </c>
    </row>
    <row r="1304" spans="1:6" ht="12" x14ac:dyDescent="0.2">
      <c r="A1304" s="65">
        <v>33430</v>
      </c>
      <c r="B1304" s="54" t="s">
        <v>779</v>
      </c>
      <c r="C1304" s="54" t="s">
        <v>4839</v>
      </c>
      <c r="D1304" s="53" t="s">
        <v>4840</v>
      </c>
      <c r="E1304" s="54" t="s">
        <v>779</v>
      </c>
      <c r="F1304" s="54" t="s">
        <v>50</v>
      </c>
    </row>
    <row r="1305" spans="1:6" ht="12" x14ac:dyDescent="0.2">
      <c r="A1305" s="65">
        <v>33433</v>
      </c>
      <c r="B1305" s="54" t="s">
        <v>780</v>
      </c>
      <c r="C1305" s="54" t="s">
        <v>4841</v>
      </c>
      <c r="D1305" s="53" t="s">
        <v>3008</v>
      </c>
      <c r="E1305" s="54" t="s">
        <v>781</v>
      </c>
      <c r="F1305" s="54" t="s">
        <v>50</v>
      </c>
    </row>
    <row r="1306" spans="1:6" ht="12" x14ac:dyDescent="0.2">
      <c r="A1306" s="65">
        <v>33436</v>
      </c>
      <c r="B1306" s="54" t="s">
        <v>171</v>
      </c>
      <c r="C1306" s="54" t="s">
        <v>4842</v>
      </c>
      <c r="D1306" s="53" t="s">
        <v>4843</v>
      </c>
      <c r="E1306" s="54" t="s">
        <v>171</v>
      </c>
      <c r="F1306" s="54" t="s">
        <v>171</v>
      </c>
    </row>
    <row r="1307" spans="1:6" ht="12" x14ac:dyDescent="0.2">
      <c r="A1307" s="65">
        <v>33443</v>
      </c>
      <c r="B1307" s="54" t="s">
        <v>782</v>
      </c>
      <c r="C1307" s="54" t="s">
        <v>4844</v>
      </c>
      <c r="D1307" s="53" t="s">
        <v>4845</v>
      </c>
      <c r="E1307" s="54" t="s">
        <v>782</v>
      </c>
      <c r="F1307" s="54" t="s">
        <v>65</v>
      </c>
    </row>
    <row r="1308" spans="1:6" ht="12" x14ac:dyDescent="0.2">
      <c r="A1308" s="66">
        <v>33445</v>
      </c>
      <c r="B1308" s="54" t="s">
        <v>783</v>
      </c>
      <c r="C1308" s="54" t="s">
        <v>4846</v>
      </c>
      <c r="D1308" s="53" t="s">
        <v>4847</v>
      </c>
      <c r="E1308" s="54" t="s">
        <v>783</v>
      </c>
      <c r="F1308" s="54" t="s">
        <v>82</v>
      </c>
    </row>
    <row r="1309" spans="1:6" ht="12" x14ac:dyDescent="0.2">
      <c r="A1309" s="65">
        <v>33447</v>
      </c>
      <c r="B1309" s="54" t="s">
        <v>417</v>
      </c>
      <c r="C1309" s="54" t="s">
        <v>4848</v>
      </c>
      <c r="D1309" s="53" t="s">
        <v>4849</v>
      </c>
      <c r="E1309" s="54" t="s">
        <v>84</v>
      </c>
      <c r="F1309" s="54" t="s">
        <v>84</v>
      </c>
    </row>
    <row r="1310" spans="1:6" ht="12" x14ac:dyDescent="0.2">
      <c r="A1310" s="66">
        <v>33450</v>
      </c>
      <c r="B1310" s="54" t="s">
        <v>418</v>
      </c>
      <c r="C1310" s="54" t="s">
        <v>4850</v>
      </c>
      <c r="D1310" s="53" t="s">
        <v>4106</v>
      </c>
      <c r="E1310" s="54" t="s">
        <v>4107</v>
      </c>
      <c r="F1310" s="54" t="s">
        <v>158</v>
      </c>
    </row>
    <row r="1311" spans="1:6" ht="12" x14ac:dyDescent="0.2">
      <c r="A1311" s="66">
        <v>33467</v>
      </c>
      <c r="B1311" s="54" t="s">
        <v>784</v>
      </c>
      <c r="C1311" s="54" t="s">
        <v>4851</v>
      </c>
      <c r="D1311" s="53" t="s">
        <v>2592</v>
      </c>
      <c r="E1311" s="54" t="s">
        <v>784</v>
      </c>
      <c r="F1311" s="54" t="s">
        <v>145</v>
      </c>
    </row>
    <row r="1312" spans="1:6" ht="12" x14ac:dyDescent="0.2">
      <c r="A1312" s="66">
        <v>33469</v>
      </c>
      <c r="B1312" s="54" t="s">
        <v>785</v>
      </c>
      <c r="C1312" s="54" t="s">
        <v>4852</v>
      </c>
      <c r="D1312" s="53" t="s">
        <v>4853</v>
      </c>
      <c r="E1312" s="54" t="s">
        <v>785</v>
      </c>
      <c r="F1312" s="54" t="s">
        <v>36</v>
      </c>
    </row>
    <row r="1313" spans="1:6" ht="12" x14ac:dyDescent="0.2">
      <c r="A1313" s="66">
        <v>33474</v>
      </c>
      <c r="B1313" s="54" t="s">
        <v>419</v>
      </c>
      <c r="C1313" s="54" t="s">
        <v>4854</v>
      </c>
      <c r="D1313" s="53" t="s">
        <v>3508</v>
      </c>
      <c r="E1313" s="54" t="s">
        <v>219</v>
      </c>
      <c r="F1313" s="54" t="s">
        <v>36</v>
      </c>
    </row>
    <row r="1314" spans="1:6" ht="12" x14ac:dyDescent="0.2">
      <c r="A1314" s="65">
        <v>33475</v>
      </c>
      <c r="B1314" s="54" t="s">
        <v>786</v>
      </c>
      <c r="C1314" s="54" t="s">
        <v>787</v>
      </c>
      <c r="D1314" s="53" t="s">
        <v>4020</v>
      </c>
      <c r="E1314" s="54" t="s">
        <v>299</v>
      </c>
      <c r="F1314" s="54" t="s">
        <v>116</v>
      </c>
    </row>
    <row r="1315" spans="1:6" ht="12" x14ac:dyDescent="0.2">
      <c r="A1315" s="65">
        <v>33477</v>
      </c>
      <c r="B1315" s="54" t="s">
        <v>4855</v>
      </c>
      <c r="C1315" s="54" t="s">
        <v>4856</v>
      </c>
      <c r="D1315" s="53" t="s">
        <v>4857</v>
      </c>
      <c r="E1315" s="54" t="s">
        <v>420</v>
      </c>
      <c r="F1315" s="54" t="s">
        <v>154</v>
      </c>
    </row>
    <row r="1316" spans="1:6" ht="12" x14ac:dyDescent="0.2">
      <c r="A1316" s="65">
        <v>33480</v>
      </c>
      <c r="B1316" s="54" t="s">
        <v>2018</v>
      </c>
      <c r="C1316" s="54" t="s">
        <v>4858</v>
      </c>
      <c r="D1316" s="53" t="s">
        <v>3870</v>
      </c>
      <c r="E1316" s="54" t="s">
        <v>1560</v>
      </c>
      <c r="F1316" s="54" t="s">
        <v>84</v>
      </c>
    </row>
    <row r="1317" spans="1:6" ht="12" x14ac:dyDescent="0.2">
      <c r="A1317" s="65">
        <v>33486</v>
      </c>
      <c r="B1317" s="54" t="s">
        <v>788</v>
      </c>
      <c r="C1317" s="54" t="s">
        <v>4859</v>
      </c>
      <c r="D1317" s="53" t="s">
        <v>4860</v>
      </c>
      <c r="E1317" s="54" t="s">
        <v>789</v>
      </c>
      <c r="F1317" s="54" t="s">
        <v>207</v>
      </c>
    </row>
    <row r="1318" spans="1:6" ht="12" x14ac:dyDescent="0.2">
      <c r="A1318" s="65">
        <v>33489</v>
      </c>
      <c r="B1318" s="54" t="s">
        <v>4861</v>
      </c>
      <c r="C1318" s="54" t="s">
        <v>4862</v>
      </c>
      <c r="D1318" s="53" t="s">
        <v>4713</v>
      </c>
      <c r="E1318" s="54" t="s">
        <v>733</v>
      </c>
      <c r="F1318" s="54" t="s">
        <v>158</v>
      </c>
    </row>
    <row r="1319" spans="1:6" ht="12" x14ac:dyDescent="0.2">
      <c r="A1319" s="65">
        <v>33489</v>
      </c>
      <c r="B1319" s="54" t="s">
        <v>4861</v>
      </c>
      <c r="C1319" s="54" t="s">
        <v>4862</v>
      </c>
      <c r="D1319" s="53" t="s">
        <v>4713</v>
      </c>
      <c r="E1319" s="54" t="s">
        <v>733</v>
      </c>
      <c r="F1319" s="54" t="s">
        <v>158</v>
      </c>
    </row>
    <row r="1320" spans="1:6" ht="12" x14ac:dyDescent="0.2">
      <c r="A1320" s="65">
        <v>33494</v>
      </c>
      <c r="B1320" s="54" t="s">
        <v>790</v>
      </c>
      <c r="C1320" s="54" t="s">
        <v>4863</v>
      </c>
      <c r="D1320" s="53" t="s">
        <v>4864</v>
      </c>
      <c r="E1320" s="54" t="s">
        <v>791</v>
      </c>
      <c r="F1320" s="54" t="s">
        <v>63</v>
      </c>
    </row>
    <row r="1321" spans="1:6" ht="12" x14ac:dyDescent="0.2">
      <c r="A1321" s="65">
        <v>33517</v>
      </c>
      <c r="B1321" s="54" t="s">
        <v>421</v>
      </c>
      <c r="C1321" s="54" t="s">
        <v>4865</v>
      </c>
      <c r="D1321" s="53" t="s">
        <v>2556</v>
      </c>
      <c r="E1321" s="54" t="s">
        <v>421</v>
      </c>
      <c r="F1321" s="54" t="s">
        <v>36</v>
      </c>
    </row>
    <row r="1322" spans="1:6" ht="12" x14ac:dyDescent="0.2">
      <c r="A1322" s="65">
        <v>33520</v>
      </c>
      <c r="B1322" s="54" t="s">
        <v>792</v>
      </c>
      <c r="C1322" s="54" t="s">
        <v>4866</v>
      </c>
      <c r="D1322" s="53" t="s">
        <v>4867</v>
      </c>
      <c r="E1322" s="54" t="s">
        <v>793</v>
      </c>
      <c r="F1322" s="54" t="s">
        <v>145</v>
      </c>
    </row>
    <row r="1323" spans="1:6" ht="12" x14ac:dyDescent="0.2">
      <c r="A1323" s="65">
        <v>33529</v>
      </c>
      <c r="B1323" s="54" t="s">
        <v>794</v>
      </c>
      <c r="C1323" s="54" t="s">
        <v>795</v>
      </c>
      <c r="D1323" s="53" t="s">
        <v>3531</v>
      </c>
      <c r="E1323" s="54" t="s">
        <v>112</v>
      </c>
      <c r="F1323" s="54" t="s">
        <v>112</v>
      </c>
    </row>
    <row r="1324" spans="1:6" ht="12" x14ac:dyDescent="0.2">
      <c r="A1324" s="65">
        <v>33533</v>
      </c>
      <c r="B1324" s="54" t="s">
        <v>796</v>
      </c>
      <c r="C1324" s="54" t="s">
        <v>4868</v>
      </c>
      <c r="D1324" s="53" t="s">
        <v>4336</v>
      </c>
      <c r="E1324" s="54" t="s">
        <v>796</v>
      </c>
      <c r="F1324" s="54" t="s">
        <v>51</v>
      </c>
    </row>
    <row r="1325" spans="1:6" ht="12" x14ac:dyDescent="0.2">
      <c r="A1325" s="65">
        <v>33542</v>
      </c>
      <c r="B1325" s="54" t="s">
        <v>702</v>
      </c>
      <c r="C1325" s="54" t="s">
        <v>4869</v>
      </c>
      <c r="D1325" s="53" t="s">
        <v>4870</v>
      </c>
      <c r="E1325" s="54" t="s">
        <v>84</v>
      </c>
      <c r="F1325" s="54" t="s">
        <v>84</v>
      </c>
    </row>
    <row r="1326" spans="1:6" ht="12" x14ac:dyDescent="0.2">
      <c r="A1326" s="65">
        <v>33552</v>
      </c>
      <c r="B1326" s="54" t="s">
        <v>422</v>
      </c>
      <c r="C1326" s="54" t="s">
        <v>4871</v>
      </c>
      <c r="D1326" s="53" t="s">
        <v>4872</v>
      </c>
      <c r="E1326" s="54" t="s">
        <v>423</v>
      </c>
      <c r="F1326" s="54" t="s">
        <v>65</v>
      </c>
    </row>
    <row r="1327" spans="1:6" ht="12" x14ac:dyDescent="0.2">
      <c r="A1327" s="65">
        <v>33553</v>
      </c>
      <c r="B1327" s="54" t="s">
        <v>797</v>
      </c>
      <c r="C1327" s="54" t="s">
        <v>4873</v>
      </c>
      <c r="D1327" s="53" t="s">
        <v>4874</v>
      </c>
      <c r="E1327" s="54" t="s">
        <v>80</v>
      </c>
      <c r="F1327" s="54" t="s">
        <v>80</v>
      </c>
    </row>
    <row r="1328" spans="1:6" ht="12" x14ac:dyDescent="0.2">
      <c r="A1328" s="65">
        <v>33556</v>
      </c>
      <c r="B1328" s="54" t="s">
        <v>798</v>
      </c>
      <c r="C1328" s="54" t="s">
        <v>4875</v>
      </c>
      <c r="D1328" s="53" t="s">
        <v>4338</v>
      </c>
      <c r="E1328" s="54" t="s">
        <v>798</v>
      </c>
      <c r="F1328" s="54" t="s">
        <v>50</v>
      </c>
    </row>
    <row r="1329" spans="1:6" ht="12" x14ac:dyDescent="0.2">
      <c r="A1329" s="65">
        <v>33560</v>
      </c>
      <c r="B1329" s="54" t="s">
        <v>424</v>
      </c>
      <c r="C1329" s="54" t="s">
        <v>4876</v>
      </c>
      <c r="D1329" s="53" t="s">
        <v>4877</v>
      </c>
      <c r="E1329" s="54" t="s">
        <v>424</v>
      </c>
      <c r="F1329" s="54" t="s">
        <v>174</v>
      </c>
    </row>
    <row r="1330" spans="1:6" ht="12" x14ac:dyDescent="0.2">
      <c r="A1330" s="65">
        <v>33561</v>
      </c>
      <c r="B1330" s="54" t="s">
        <v>799</v>
      </c>
      <c r="C1330" s="54" t="s">
        <v>4878</v>
      </c>
      <c r="D1330" s="53" t="s">
        <v>4879</v>
      </c>
      <c r="E1330" s="54" t="s">
        <v>799</v>
      </c>
      <c r="F1330" s="54" t="s">
        <v>207</v>
      </c>
    </row>
    <row r="1331" spans="1:6" ht="12" x14ac:dyDescent="0.2">
      <c r="A1331" s="65">
        <v>33572</v>
      </c>
      <c r="B1331" s="54" t="s">
        <v>800</v>
      </c>
      <c r="C1331" s="54" t="s">
        <v>4880</v>
      </c>
      <c r="D1331" s="53" t="s">
        <v>4881</v>
      </c>
      <c r="E1331" s="54" t="s">
        <v>800</v>
      </c>
      <c r="F1331" s="54" t="s">
        <v>285</v>
      </c>
    </row>
    <row r="1332" spans="1:6" ht="12" x14ac:dyDescent="0.2">
      <c r="A1332" s="65">
        <v>33574</v>
      </c>
      <c r="B1332" s="54" t="s">
        <v>801</v>
      </c>
      <c r="C1332" s="54" t="s">
        <v>802</v>
      </c>
      <c r="D1332" s="53" t="s">
        <v>4882</v>
      </c>
      <c r="E1332" s="54" t="s">
        <v>801</v>
      </c>
      <c r="F1332" s="54" t="s">
        <v>152</v>
      </c>
    </row>
    <row r="1333" spans="1:6" ht="12" x14ac:dyDescent="0.2">
      <c r="A1333" s="65">
        <v>33575</v>
      </c>
      <c r="B1333" s="54" t="s">
        <v>425</v>
      </c>
      <c r="C1333" s="54" t="s">
        <v>4883</v>
      </c>
      <c r="D1333" s="53" t="s">
        <v>4665</v>
      </c>
      <c r="E1333" s="54" t="s">
        <v>425</v>
      </c>
      <c r="F1333" s="54" t="s">
        <v>97</v>
      </c>
    </row>
    <row r="1334" spans="1:6" ht="12" x14ac:dyDescent="0.2">
      <c r="A1334" s="66">
        <v>33577</v>
      </c>
      <c r="B1334" s="54" t="s">
        <v>4884</v>
      </c>
      <c r="C1334" s="54" t="s">
        <v>4885</v>
      </c>
      <c r="D1334" s="53" t="s">
        <v>2642</v>
      </c>
      <c r="E1334" s="54" t="s">
        <v>426</v>
      </c>
      <c r="F1334" s="54" t="s">
        <v>239</v>
      </c>
    </row>
    <row r="1335" spans="1:6" ht="12" x14ac:dyDescent="0.2">
      <c r="A1335" s="66">
        <v>33580</v>
      </c>
      <c r="B1335" s="54" t="s">
        <v>2019</v>
      </c>
      <c r="C1335" s="54" t="s">
        <v>1333</v>
      </c>
      <c r="D1335" s="53" t="s">
        <v>4886</v>
      </c>
      <c r="E1335" s="54" t="s">
        <v>2020</v>
      </c>
      <c r="F1335" s="54" t="s">
        <v>37</v>
      </c>
    </row>
    <row r="1336" spans="1:6" ht="12" x14ac:dyDescent="0.2">
      <c r="A1336" s="65">
        <v>33587</v>
      </c>
      <c r="B1336" s="54" t="s">
        <v>803</v>
      </c>
      <c r="C1336" s="54" t="s">
        <v>1968</v>
      </c>
      <c r="D1336" s="53" t="s">
        <v>4887</v>
      </c>
      <c r="E1336" s="54" t="s">
        <v>804</v>
      </c>
      <c r="F1336" s="54" t="s">
        <v>97</v>
      </c>
    </row>
    <row r="1337" spans="1:6" ht="12" x14ac:dyDescent="0.2">
      <c r="A1337" s="65">
        <v>33588</v>
      </c>
      <c r="B1337" s="54" t="s">
        <v>805</v>
      </c>
      <c r="C1337" s="54" t="s">
        <v>4888</v>
      </c>
      <c r="D1337" s="53" t="s">
        <v>4889</v>
      </c>
      <c r="E1337" s="54" t="s">
        <v>806</v>
      </c>
      <c r="F1337" s="54" t="s">
        <v>145</v>
      </c>
    </row>
    <row r="1338" spans="1:6" ht="12" x14ac:dyDescent="0.2">
      <c r="A1338" s="66">
        <v>33591</v>
      </c>
      <c r="B1338" s="54" t="s">
        <v>1008</v>
      </c>
      <c r="C1338" s="54" t="s">
        <v>4890</v>
      </c>
      <c r="D1338" s="53" t="s">
        <v>4891</v>
      </c>
      <c r="E1338" s="54" t="s">
        <v>1753</v>
      </c>
      <c r="F1338" s="54" t="s">
        <v>37</v>
      </c>
    </row>
    <row r="1339" spans="1:6" ht="12" x14ac:dyDescent="0.2">
      <c r="A1339" s="65">
        <v>33592</v>
      </c>
      <c r="B1339" s="54" t="s">
        <v>807</v>
      </c>
      <c r="C1339" s="54" t="s">
        <v>4892</v>
      </c>
      <c r="D1339" s="53" t="s">
        <v>3882</v>
      </c>
      <c r="E1339" s="54" t="s">
        <v>807</v>
      </c>
      <c r="F1339" s="54" t="s">
        <v>176</v>
      </c>
    </row>
    <row r="1340" spans="1:6" ht="12" x14ac:dyDescent="0.2">
      <c r="A1340" s="65">
        <v>33595</v>
      </c>
      <c r="B1340" s="54" t="s">
        <v>2021</v>
      </c>
      <c r="C1340" s="54" t="s">
        <v>4893</v>
      </c>
      <c r="D1340" s="53" t="s">
        <v>4894</v>
      </c>
      <c r="E1340" s="54" t="s">
        <v>2022</v>
      </c>
      <c r="F1340" s="54" t="s">
        <v>123</v>
      </c>
    </row>
    <row r="1341" spans="1:6" ht="12" x14ac:dyDescent="0.2">
      <c r="A1341" s="65">
        <v>33598</v>
      </c>
      <c r="B1341" s="54" t="s">
        <v>808</v>
      </c>
      <c r="C1341" s="54" t="s">
        <v>4895</v>
      </c>
      <c r="D1341" s="53" t="s">
        <v>4896</v>
      </c>
      <c r="E1341" s="54" t="s">
        <v>808</v>
      </c>
      <c r="F1341" s="54" t="s">
        <v>145</v>
      </c>
    </row>
    <row r="1342" spans="1:6" ht="12" x14ac:dyDescent="0.2">
      <c r="A1342" s="65">
        <v>33604</v>
      </c>
      <c r="B1342" s="54" t="s">
        <v>1754</v>
      </c>
      <c r="C1342" s="54" t="s">
        <v>4897</v>
      </c>
      <c r="D1342" s="53" t="s">
        <v>4898</v>
      </c>
      <c r="E1342" s="54" t="s">
        <v>1754</v>
      </c>
      <c r="F1342" s="54" t="s">
        <v>207</v>
      </c>
    </row>
    <row r="1343" spans="1:6" ht="12" x14ac:dyDescent="0.2">
      <c r="A1343" s="65">
        <v>33609</v>
      </c>
      <c r="B1343" s="54" t="s">
        <v>427</v>
      </c>
      <c r="C1343" s="54" t="s">
        <v>4899</v>
      </c>
      <c r="D1343" s="53" t="s">
        <v>4900</v>
      </c>
      <c r="E1343" s="54" t="s">
        <v>89</v>
      </c>
      <c r="F1343" s="54" t="s">
        <v>89</v>
      </c>
    </row>
    <row r="1344" spans="1:6" ht="12" x14ac:dyDescent="0.2">
      <c r="A1344" s="65">
        <v>33612</v>
      </c>
      <c r="B1344" s="54" t="s">
        <v>809</v>
      </c>
      <c r="C1344" s="54" t="s">
        <v>4901</v>
      </c>
      <c r="D1344" s="53" t="s">
        <v>4902</v>
      </c>
      <c r="E1344" s="54" t="s">
        <v>4903</v>
      </c>
      <c r="F1344" s="54" t="s">
        <v>2840</v>
      </c>
    </row>
    <row r="1345" spans="1:6" ht="12" x14ac:dyDescent="0.2">
      <c r="A1345" s="66">
        <v>33619</v>
      </c>
      <c r="B1345" s="54" t="s">
        <v>810</v>
      </c>
      <c r="C1345" s="54" t="s">
        <v>4904</v>
      </c>
      <c r="D1345" s="53" t="s">
        <v>4905</v>
      </c>
      <c r="E1345" s="54" t="s">
        <v>811</v>
      </c>
      <c r="F1345" s="54" t="s">
        <v>211</v>
      </c>
    </row>
    <row r="1346" spans="1:6" ht="12" x14ac:dyDescent="0.2">
      <c r="A1346" s="65">
        <v>33620</v>
      </c>
      <c r="B1346" s="54" t="s">
        <v>1755</v>
      </c>
      <c r="C1346" s="54" t="s">
        <v>4906</v>
      </c>
      <c r="D1346" s="53" t="s">
        <v>4907</v>
      </c>
      <c r="E1346" s="54" t="s">
        <v>1755</v>
      </c>
      <c r="F1346" s="54" t="s">
        <v>2840</v>
      </c>
    </row>
    <row r="1347" spans="1:6" ht="12" x14ac:dyDescent="0.2">
      <c r="A1347" s="65">
        <v>33652</v>
      </c>
      <c r="B1347" s="54" t="s">
        <v>4908</v>
      </c>
      <c r="C1347" s="54" t="s">
        <v>4909</v>
      </c>
      <c r="D1347" s="53" t="s">
        <v>4910</v>
      </c>
      <c r="E1347" s="54" t="s">
        <v>4911</v>
      </c>
      <c r="F1347" s="54" t="s">
        <v>63</v>
      </c>
    </row>
    <row r="1348" spans="1:6" ht="12" x14ac:dyDescent="0.2">
      <c r="A1348" s="65">
        <v>33653</v>
      </c>
      <c r="B1348" s="54" t="s">
        <v>812</v>
      </c>
      <c r="C1348" s="54" t="s">
        <v>4912</v>
      </c>
      <c r="D1348" s="53" t="s">
        <v>4913</v>
      </c>
      <c r="E1348" s="54" t="s">
        <v>813</v>
      </c>
      <c r="F1348" s="54" t="s">
        <v>63</v>
      </c>
    </row>
    <row r="1349" spans="1:6" ht="12" x14ac:dyDescent="0.2">
      <c r="A1349" s="65">
        <v>33657</v>
      </c>
      <c r="B1349" s="54" t="s">
        <v>814</v>
      </c>
      <c r="C1349" s="54" t="s">
        <v>4914</v>
      </c>
      <c r="D1349" s="53" t="s">
        <v>4915</v>
      </c>
      <c r="E1349" s="54" t="s">
        <v>814</v>
      </c>
      <c r="F1349" s="54" t="s">
        <v>89</v>
      </c>
    </row>
    <row r="1350" spans="1:6" ht="12" x14ac:dyDescent="0.2">
      <c r="A1350" s="65">
        <v>33668</v>
      </c>
      <c r="B1350" s="54" t="s">
        <v>815</v>
      </c>
      <c r="C1350" s="54" t="s">
        <v>4916</v>
      </c>
      <c r="D1350" s="53" t="s">
        <v>3868</v>
      </c>
      <c r="E1350" s="54" t="s">
        <v>815</v>
      </c>
      <c r="F1350" s="54" t="s">
        <v>152</v>
      </c>
    </row>
    <row r="1351" spans="1:6" ht="12" x14ac:dyDescent="0.2">
      <c r="A1351" s="65">
        <v>33692</v>
      </c>
      <c r="B1351" s="54" t="s">
        <v>2023</v>
      </c>
      <c r="C1351" s="54" t="s">
        <v>4917</v>
      </c>
      <c r="D1351" s="53" t="s">
        <v>4918</v>
      </c>
      <c r="E1351" s="54" t="s">
        <v>2024</v>
      </c>
      <c r="F1351" s="54" t="s">
        <v>65</v>
      </c>
    </row>
    <row r="1352" spans="1:6" ht="12" x14ac:dyDescent="0.2">
      <c r="A1352" s="65">
        <v>33700</v>
      </c>
      <c r="B1352" s="54" t="s">
        <v>4919</v>
      </c>
      <c r="C1352" s="54" t="s">
        <v>4920</v>
      </c>
      <c r="D1352" s="53" t="s">
        <v>4921</v>
      </c>
      <c r="E1352" s="54" t="s">
        <v>86</v>
      </c>
      <c r="F1352" s="54" t="s">
        <v>82</v>
      </c>
    </row>
    <row r="1353" spans="1:6" ht="12" x14ac:dyDescent="0.2">
      <c r="A1353" s="65">
        <v>33702</v>
      </c>
      <c r="B1353" s="54" t="s">
        <v>392</v>
      </c>
      <c r="C1353" s="54" t="s">
        <v>4922</v>
      </c>
      <c r="D1353" s="53" t="s">
        <v>4644</v>
      </c>
      <c r="E1353" s="54" t="s">
        <v>392</v>
      </c>
      <c r="F1353" s="54" t="s">
        <v>342</v>
      </c>
    </row>
    <row r="1354" spans="1:6" ht="12" x14ac:dyDescent="0.2">
      <c r="A1354" s="65">
        <v>33708</v>
      </c>
      <c r="B1354" s="54" t="s">
        <v>816</v>
      </c>
      <c r="C1354" s="54" t="s">
        <v>817</v>
      </c>
      <c r="D1354" s="53" t="s">
        <v>4923</v>
      </c>
      <c r="E1354" s="54" t="s">
        <v>818</v>
      </c>
      <c r="F1354" s="54" t="s">
        <v>84</v>
      </c>
    </row>
    <row r="1355" spans="1:6" ht="12" x14ac:dyDescent="0.2">
      <c r="A1355" s="65">
        <v>33710</v>
      </c>
      <c r="B1355" s="54" t="s">
        <v>819</v>
      </c>
      <c r="C1355" s="54" t="s">
        <v>820</v>
      </c>
      <c r="D1355" s="53" t="s">
        <v>4924</v>
      </c>
      <c r="E1355" s="54" t="s">
        <v>821</v>
      </c>
      <c r="F1355" s="54" t="s">
        <v>89</v>
      </c>
    </row>
    <row r="1356" spans="1:6" ht="12" x14ac:dyDescent="0.2">
      <c r="A1356" s="65">
        <v>33711</v>
      </c>
      <c r="B1356" s="54" t="s">
        <v>428</v>
      </c>
      <c r="C1356" s="54" t="s">
        <v>4925</v>
      </c>
      <c r="D1356" s="53" t="s">
        <v>4926</v>
      </c>
      <c r="E1356" s="54" t="s">
        <v>429</v>
      </c>
      <c r="F1356" s="54" t="s">
        <v>82</v>
      </c>
    </row>
    <row r="1357" spans="1:6" ht="12" x14ac:dyDescent="0.2">
      <c r="A1357" s="65">
        <v>33732</v>
      </c>
      <c r="B1357" s="54" t="s">
        <v>822</v>
      </c>
      <c r="C1357" s="54" t="s">
        <v>4927</v>
      </c>
      <c r="D1357" s="53" t="s">
        <v>4928</v>
      </c>
      <c r="E1357" s="54" t="s">
        <v>822</v>
      </c>
      <c r="F1357" s="54" t="s">
        <v>118</v>
      </c>
    </row>
    <row r="1358" spans="1:6" ht="12" x14ac:dyDescent="0.2">
      <c r="A1358" s="65">
        <v>33733</v>
      </c>
      <c r="B1358" s="54" t="s">
        <v>823</v>
      </c>
      <c r="C1358" s="54" t="s">
        <v>4929</v>
      </c>
      <c r="D1358" s="53" t="s">
        <v>4930</v>
      </c>
      <c r="E1358" s="54" t="s">
        <v>824</v>
      </c>
      <c r="F1358" s="54" t="s">
        <v>118</v>
      </c>
    </row>
    <row r="1359" spans="1:6" ht="12" x14ac:dyDescent="0.2">
      <c r="A1359" s="65">
        <v>33739</v>
      </c>
      <c r="B1359" s="54" t="s">
        <v>4931</v>
      </c>
      <c r="C1359" s="54" t="s">
        <v>4932</v>
      </c>
      <c r="D1359" s="53" t="s">
        <v>4933</v>
      </c>
      <c r="E1359" s="54" t="s">
        <v>825</v>
      </c>
      <c r="F1359" s="54" t="s">
        <v>123</v>
      </c>
    </row>
    <row r="1360" spans="1:6" ht="12" x14ac:dyDescent="0.2">
      <c r="A1360" s="65">
        <v>33741</v>
      </c>
      <c r="B1360" s="54" t="s">
        <v>430</v>
      </c>
      <c r="C1360" s="54" t="s">
        <v>4934</v>
      </c>
      <c r="D1360" s="53" t="s">
        <v>4935</v>
      </c>
      <c r="E1360" s="54" t="s">
        <v>108</v>
      </c>
      <c r="F1360" s="54" t="s">
        <v>108</v>
      </c>
    </row>
    <row r="1361" spans="1:6" ht="12" x14ac:dyDescent="0.2">
      <c r="A1361" s="65">
        <v>33745</v>
      </c>
      <c r="B1361" s="54" t="s">
        <v>4936</v>
      </c>
      <c r="C1361" s="54" t="s">
        <v>4937</v>
      </c>
      <c r="D1361" s="53" t="s">
        <v>4938</v>
      </c>
      <c r="E1361" s="54" t="s">
        <v>4939</v>
      </c>
      <c r="F1361" s="54" t="s">
        <v>158</v>
      </c>
    </row>
    <row r="1362" spans="1:6" ht="12" x14ac:dyDescent="0.2">
      <c r="A1362" s="65">
        <v>33753</v>
      </c>
      <c r="B1362" s="54" t="s">
        <v>826</v>
      </c>
      <c r="C1362" s="54" t="s">
        <v>4940</v>
      </c>
      <c r="D1362" s="53" t="s">
        <v>4086</v>
      </c>
      <c r="E1362" s="54" t="s">
        <v>826</v>
      </c>
      <c r="F1362" s="54" t="s">
        <v>84</v>
      </c>
    </row>
    <row r="1363" spans="1:6" ht="12" x14ac:dyDescent="0.2">
      <c r="A1363" s="65">
        <v>33769</v>
      </c>
      <c r="B1363" s="54" t="s">
        <v>827</v>
      </c>
      <c r="C1363" s="54" t="s">
        <v>4941</v>
      </c>
      <c r="D1363" s="53" t="s">
        <v>4942</v>
      </c>
      <c r="E1363" s="54" t="s">
        <v>40</v>
      </c>
      <c r="F1363" s="54" t="s">
        <v>116</v>
      </c>
    </row>
    <row r="1364" spans="1:6" ht="12" x14ac:dyDescent="0.2">
      <c r="A1364" s="65">
        <v>33776</v>
      </c>
      <c r="B1364" s="54" t="s">
        <v>1756</v>
      </c>
      <c r="C1364" s="54" t="s">
        <v>4943</v>
      </c>
      <c r="D1364" s="53" t="s">
        <v>4944</v>
      </c>
      <c r="E1364" s="54" t="s">
        <v>1756</v>
      </c>
      <c r="F1364" s="54" t="s">
        <v>145</v>
      </c>
    </row>
    <row r="1365" spans="1:6" ht="12" x14ac:dyDescent="0.2">
      <c r="A1365" s="65">
        <v>33780</v>
      </c>
      <c r="B1365" s="54" t="s">
        <v>431</v>
      </c>
      <c r="C1365" s="54" t="s">
        <v>4945</v>
      </c>
      <c r="D1365" s="53" t="s">
        <v>3508</v>
      </c>
      <c r="E1365" s="54" t="s">
        <v>219</v>
      </c>
      <c r="F1365" s="54" t="s">
        <v>36</v>
      </c>
    </row>
    <row r="1366" spans="1:6" ht="12" x14ac:dyDescent="0.2">
      <c r="A1366" s="65">
        <v>33781</v>
      </c>
      <c r="B1366" s="54" t="s">
        <v>828</v>
      </c>
      <c r="C1366" s="54" t="s">
        <v>4946</v>
      </c>
      <c r="D1366" s="53" t="s">
        <v>3558</v>
      </c>
      <c r="E1366" s="54" t="s">
        <v>633</v>
      </c>
      <c r="F1366" s="54" t="s">
        <v>108</v>
      </c>
    </row>
    <row r="1367" spans="1:6" ht="12" x14ac:dyDescent="0.2">
      <c r="A1367" s="65">
        <v>33782</v>
      </c>
      <c r="B1367" s="54" t="s">
        <v>4947</v>
      </c>
      <c r="C1367" s="54" t="s">
        <v>4948</v>
      </c>
      <c r="D1367" s="53" t="s">
        <v>4949</v>
      </c>
      <c r="E1367" s="54" t="s">
        <v>455</v>
      </c>
      <c r="F1367" s="54" t="s">
        <v>108</v>
      </c>
    </row>
    <row r="1368" spans="1:6" ht="12" x14ac:dyDescent="0.2">
      <c r="A1368" s="65">
        <v>33783</v>
      </c>
      <c r="B1368" s="54" t="s">
        <v>829</v>
      </c>
      <c r="C1368" s="54" t="s">
        <v>4950</v>
      </c>
      <c r="D1368" s="53" t="s">
        <v>4949</v>
      </c>
      <c r="E1368" s="54" t="s">
        <v>455</v>
      </c>
      <c r="F1368" s="54" t="s">
        <v>108</v>
      </c>
    </row>
    <row r="1369" spans="1:6" ht="12" x14ac:dyDescent="0.2">
      <c r="A1369" s="65">
        <v>33784</v>
      </c>
      <c r="B1369" s="54" t="s">
        <v>432</v>
      </c>
      <c r="C1369" s="54" t="s">
        <v>4951</v>
      </c>
      <c r="D1369" s="53" t="s">
        <v>3447</v>
      </c>
      <c r="E1369" s="54" t="s">
        <v>213</v>
      </c>
      <c r="F1369" s="54" t="s">
        <v>108</v>
      </c>
    </row>
    <row r="1370" spans="1:6" ht="12" x14ac:dyDescent="0.2">
      <c r="A1370" s="65">
        <v>33808</v>
      </c>
      <c r="B1370" s="54" t="s">
        <v>830</v>
      </c>
      <c r="C1370" s="54" t="s">
        <v>831</v>
      </c>
      <c r="D1370" s="53" t="s">
        <v>4952</v>
      </c>
      <c r="E1370" s="54" t="s">
        <v>680</v>
      </c>
      <c r="F1370" s="54" t="s">
        <v>171</v>
      </c>
    </row>
    <row r="1371" spans="1:6" ht="12" x14ac:dyDescent="0.2">
      <c r="A1371" s="65">
        <v>33812</v>
      </c>
      <c r="B1371" s="54" t="s">
        <v>832</v>
      </c>
      <c r="C1371" s="54" t="s">
        <v>4953</v>
      </c>
      <c r="D1371" s="53" t="s">
        <v>4954</v>
      </c>
      <c r="E1371" s="54" t="s">
        <v>833</v>
      </c>
      <c r="F1371" s="54" t="s">
        <v>152</v>
      </c>
    </row>
    <row r="1372" spans="1:6" ht="12" x14ac:dyDescent="0.2">
      <c r="A1372" s="65">
        <v>33813</v>
      </c>
      <c r="B1372" s="54" t="s">
        <v>1440</v>
      </c>
      <c r="C1372" s="54" t="s">
        <v>4955</v>
      </c>
      <c r="D1372" s="53" t="s">
        <v>3151</v>
      </c>
      <c r="E1372" s="54" t="s">
        <v>384</v>
      </c>
      <c r="F1372" s="54" t="s">
        <v>253</v>
      </c>
    </row>
    <row r="1373" spans="1:6" ht="12" x14ac:dyDescent="0.2">
      <c r="A1373" s="65">
        <v>33814</v>
      </c>
      <c r="B1373" s="54" t="s">
        <v>834</v>
      </c>
      <c r="C1373" s="54" t="s">
        <v>4956</v>
      </c>
      <c r="D1373" s="53" t="s">
        <v>4957</v>
      </c>
      <c r="E1373" s="54" t="s">
        <v>4958</v>
      </c>
      <c r="F1373" s="54" t="s">
        <v>2840</v>
      </c>
    </row>
    <row r="1374" spans="1:6" ht="12" x14ac:dyDescent="0.2">
      <c r="A1374" s="65">
        <v>33816</v>
      </c>
      <c r="B1374" s="54" t="s">
        <v>835</v>
      </c>
      <c r="C1374" s="54" t="s">
        <v>836</v>
      </c>
      <c r="D1374" s="53" t="s">
        <v>4959</v>
      </c>
      <c r="E1374" s="54" t="s">
        <v>837</v>
      </c>
      <c r="F1374" s="54" t="s">
        <v>135</v>
      </c>
    </row>
    <row r="1375" spans="1:6" ht="12" x14ac:dyDescent="0.2">
      <c r="A1375" s="65">
        <v>33819</v>
      </c>
      <c r="B1375" s="54" t="s">
        <v>838</v>
      </c>
      <c r="C1375" s="54" t="s">
        <v>4960</v>
      </c>
      <c r="D1375" s="53" t="s">
        <v>4961</v>
      </c>
      <c r="E1375" s="54" t="s">
        <v>839</v>
      </c>
      <c r="F1375" s="54" t="s">
        <v>145</v>
      </c>
    </row>
    <row r="1376" spans="1:6" ht="12" x14ac:dyDescent="0.2">
      <c r="A1376" s="65">
        <v>33820</v>
      </c>
      <c r="B1376" s="54" t="s">
        <v>840</v>
      </c>
      <c r="C1376" s="54" t="s">
        <v>4962</v>
      </c>
      <c r="D1376" s="53" t="s">
        <v>4963</v>
      </c>
      <c r="E1376" s="54" t="s">
        <v>840</v>
      </c>
      <c r="F1376" s="54" t="s">
        <v>145</v>
      </c>
    </row>
    <row r="1377" spans="1:6" ht="12" x14ac:dyDescent="0.2">
      <c r="A1377" s="65">
        <v>33833</v>
      </c>
      <c r="B1377" s="54" t="s">
        <v>841</v>
      </c>
      <c r="C1377" s="54" t="s">
        <v>4964</v>
      </c>
      <c r="D1377" s="53" t="s">
        <v>4965</v>
      </c>
      <c r="E1377" s="54" t="s">
        <v>841</v>
      </c>
      <c r="F1377" s="54" t="s">
        <v>80</v>
      </c>
    </row>
    <row r="1378" spans="1:6" ht="12" x14ac:dyDescent="0.2">
      <c r="A1378" s="65">
        <v>33843</v>
      </c>
      <c r="B1378" s="54" t="s">
        <v>4966</v>
      </c>
      <c r="C1378" s="54" t="s">
        <v>4967</v>
      </c>
      <c r="D1378" s="53" t="s">
        <v>4968</v>
      </c>
      <c r="E1378" s="54" t="s">
        <v>842</v>
      </c>
      <c r="F1378" s="54" t="s">
        <v>108</v>
      </c>
    </row>
    <row r="1379" spans="1:6" ht="12" x14ac:dyDescent="0.2">
      <c r="A1379" s="65">
        <v>33843</v>
      </c>
      <c r="B1379" s="54" t="s">
        <v>4966</v>
      </c>
      <c r="C1379" s="54" t="s">
        <v>4967</v>
      </c>
      <c r="D1379" s="53" t="s">
        <v>4968</v>
      </c>
      <c r="E1379" s="54" t="s">
        <v>842</v>
      </c>
      <c r="F1379" s="54" t="s">
        <v>108</v>
      </c>
    </row>
    <row r="1380" spans="1:6" ht="12" x14ac:dyDescent="0.2">
      <c r="A1380" s="65">
        <v>33852</v>
      </c>
      <c r="B1380" s="54" t="s">
        <v>843</v>
      </c>
      <c r="C1380" s="54" t="s">
        <v>4969</v>
      </c>
      <c r="D1380" s="53" t="s">
        <v>4970</v>
      </c>
      <c r="E1380" s="54" t="s">
        <v>844</v>
      </c>
      <c r="F1380" s="54" t="s">
        <v>332</v>
      </c>
    </row>
    <row r="1381" spans="1:6" ht="12" x14ac:dyDescent="0.2">
      <c r="A1381" s="65">
        <v>33870</v>
      </c>
      <c r="B1381" s="54" t="s">
        <v>845</v>
      </c>
      <c r="C1381" s="54" t="s">
        <v>4971</v>
      </c>
      <c r="D1381" s="53" t="s">
        <v>4972</v>
      </c>
      <c r="E1381" s="54" t="s">
        <v>846</v>
      </c>
      <c r="F1381" s="54" t="s">
        <v>84</v>
      </c>
    </row>
    <row r="1382" spans="1:6" ht="12" x14ac:dyDescent="0.2">
      <c r="A1382" s="65">
        <v>33871</v>
      </c>
      <c r="B1382" s="54" t="s">
        <v>433</v>
      </c>
      <c r="C1382" s="54" t="s">
        <v>4973</v>
      </c>
      <c r="D1382" s="53" t="s">
        <v>4213</v>
      </c>
      <c r="E1382" s="54" t="s">
        <v>433</v>
      </c>
      <c r="F1382" s="54" t="s">
        <v>36</v>
      </c>
    </row>
    <row r="1383" spans="1:6" ht="12" x14ac:dyDescent="0.2">
      <c r="A1383" s="65">
        <v>33875</v>
      </c>
      <c r="B1383" s="54" t="s">
        <v>847</v>
      </c>
      <c r="C1383" s="54" t="s">
        <v>4974</v>
      </c>
      <c r="D1383" s="53" t="s">
        <v>4975</v>
      </c>
      <c r="E1383" s="54" t="s">
        <v>848</v>
      </c>
      <c r="F1383" s="54" t="s">
        <v>49</v>
      </c>
    </row>
    <row r="1384" spans="1:6" ht="12" x14ac:dyDescent="0.2">
      <c r="A1384" s="65">
        <v>33876</v>
      </c>
      <c r="B1384" s="54" t="s">
        <v>1757</v>
      </c>
      <c r="C1384" s="54" t="s">
        <v>4976</v>
      </c>
      <c r="D1384" s="53" t="s">
        <v>4977</v>
      </c>
      <c r="E1384" s="54" t="s">
        <v>1758</v>
      </c>
      <c r="F1384" s="54" t="s">
        <v>2553</v>
      </c>
    </row>
    <row r="1385" spans="1:6" ht="12" x14ac:dyDescent="0.2">
      <c r="A1385" s="65">
        <v>33886</v>
      </c>
      <c r="B1385" s="54" t="s">
        <v>2025</v>
      </c>
      <c r="C1385" s="54" t="s">
        <v>4978</v>
      </c>
      <c r="D1385" s="53" t="s">
        <v>4979</v>
      </c>
      <c r="E1385" s="54" t="s">
        <v>2025</v>
      </c>
      <c r="F1385" s="54" t="s">
        <v>97</v>
      </c>
    </row>
    <row r="1386" spans="1:6" ht="12" x14ac:dyDescent="0.2">
      <c r="A1386" s="65">
        <v>33887</v>
      </c>
      <c r="B1386" s="54" t="s">
        <v>849</v>
      </c>
      <c r="C1386" s="54" t="s">
        <v>4980</v>
      </c>
      <c r="D1386" s="53" t="s">
        <v>4981</v>
      </c>
      <c r="E1386" s="54" t="s">
        <v>849</v>
      </c>
      <c r="F1386" s="54" t="s">
        <v>36</v>
      </c>
    </row>
    <row r="1387" spans="1:6" ht="12" x14ac:dyDescent="0.2">
      <c r="A1387" s="65">
        <v>33895</v>
      </c>
      <c r="B1387" s="54" t="s">
        <v>2026</v>
      </c>
      <c r="C1387" s="54" t="s">
        <v>4982</v>
      </c>
      <c r="D1387" s="53" t="s">
        <v>4983</v>
      </c>
      <c r="E1387" s="54" t="s">
        <v>2026</v>
      </c>
      <c r="F1387" s="54" t="s">
        <v>239</v>
      </c>
    </row>
    <row r="1388" spans="1:6" ht="12" x14ac:dyDescent="0.2">
      <c r="A1388" s="65">
        <v>33896</v>
      </c>
      <c r="B1388" s="54" t="s">
        <v>850</v>
      </c>
      <c r="C1388" s="54" t="s">
        <v>4984</v>
      </c>
      <c r="D1388" s="53" t="s">
        <v>4985</v>
      </c>
      <c r="E1388" s="54" t="s">
        <v>850</v>
      </c>
      <c r="F1388" s="54" t="s">
        <v>332</v>
      </c>
    </row>
    <row r="1389" spans="1:6" ht="12" x14ac:dyDescent="0.2">
      <c r="A1389" s="65">
        <v>33897</v>
      </c>
      <c r="B1389" s="54" t="s">
        <v>851</v>
      </c>
      <c r="C1389" s="54" t="s">
        <v>4986</v>
      </c>
      <c r="D1389" s="53" t="s">
        <v>4987</v>
      </c>
      <c r="E1389" s="54" t="s">
        <v>851</v>
      </c>
      <c r="F1389" s="54" t="s">
        <v>84</v>
      </c>
    </row>
    <row r="1390" spans="1:6" ht="12" x14ac:dyDescent="0.2">
      <c r="A1390" s="65">
        <v>33904</v>
      </c>
      <c r="B1390" s="54" t="s">
        <v>852</v>
      </c>
      <c r="C1390" s="54" t="s">
        <v>4988</v>
      </c>
      <c r="D1390" s="53" t="s">
        <v>4989</v>
      </c>
      <c r="E1390" s="54" t="s">
        <v>853</v>
      </c>
      <c r="F1390" s="54" t="s">
        <v>211</v>
      </c>
    </row>
    <row r="1391" spans="1:6" ht="12" x14ac:dyDescent="0.2">
      <c r="A1391" s="65">
        <v>33905</v>
      </c>
      <c r="B1391" s="54" t="s">
        <v>854</v>
      </c>
      <c r="C1391" s="54" t="s">
        <v>4990</v>
      </c>
      <c r="D1391" s="53" t="s">
        <v>4991</v>
      </c>
      <c r="E1391" s="54" t="s">
        <v>123</v>
      </c>
      <c r="F1391" s="54" t="s">
        <v>123</v>
      </c>
    </row>
    <row r="1392" spans="1:6" ht="12" x14ac:dyDescent="0.2">
      <c r="A1392" s="65">
        <v>33908</v>
      </c>
      <c r="B1392" s="54" t="s">
        <v>855</v>
      </c>
      <c r="C1392" s="54" t="s">
        <v>4992</v>
      </c>
      <c r="D1392" s="53" t="s">
        <v>4993</v>
      </c>
      <c r="E1392" s="54" t="s">
        <v>855</v>
      </c>
      <c r="F1392" s="54" t="s">
        <v>112</v>
      </c>
    </row>
    <row r="1393" spans="1:6" ht="12" x14ac:dyDescent="0.2">
      <c r="A1393" s="65">
        <v>33911</v>
      </c>
      <c r="B1393" s="54" t="s">
        <v>854</v>
      </c>
      <c r="C1393" s="54" t="s">
        <v>4994</v>
      </c>
      <c r="D1393" s="53" t="s">
        <v>4995</v>
      </c>
      <c r="E1393" s="54" t="s">
        <v>856</v>
      </c>
      <c r="F1393" s="54" t="s">
        <v>211</v>
      </c>
    </row>
    <row r="1394" spans="1:6" ht="12" x14ac:dyDescent="0.2">
      <c r="A1394" s="65">
        <v>33914</v>
      </c>
      <c r="B1394" s="54" t="s">
        <v>857</v>
      </c>
      <c r="C1394" s="54" t="s">
        <v>4996</v>
      </c>
      <c r="D1394" s="53" t="s">
        <v>4997</v>
      </c>
      <c r="E1394" s="54" t="s">
        <v>858</v>
      </c>
      <c r="F1394" s="54" t="s">
        <v>158</v>
      </c>
    </row>
    <row r="1395" spans="1:6" ht="12" x14ac:dyDescent="0.2">
      <c r="A1395" s="65">
        <v>33917</v>
      </c>
      <c r="B1395" s="54" t="s">
        <v>859</v>
      </c>
      <c r="C1395" s="54" t="s">
        <v>4998</v>
      </c>
      <c r="D1395" s="53" t="s">
        <v>4999</v>
      </c>
      <c r="E1395" s="54" t="s">
        <v>859</v>
      </c>
      <c r="F1395" s="54" t="s">
        <v>50</v>
      </c>
    </row>
    <row r="1396" spans="1:6" ht="12" x14ac:dyDescent="0.2">
      <c r="A1396" s="65">
        <v>33918</v>
      </c>
      <c r="B1396" s="54" t="s">
        <v>5000</v>
      </c>
      <c r="C1396" s="54" t="s">
        <v>5001</v>
      </c>
      <c r="D1396" s="53" t="s">
        <v>5002</v>
      </c>
      <c r="E1396" s="54" t="s">
        <v>5003</v>
      </c>
      <c r="F1396" s="54" t="s">
        <v>50</v>
      </c>
    </row>
    <row r="1397" spans="1:6" ht="12" x14ac:dyDescent="0.2">
      <c r="A1397" s="65">
        <v>33928</v>
      </c>
      <c r="B1397" s="54" t="s">
        <v>860</v>
      </c>
      <c r="C1397" s="54" t="s">
        <v>5004</v>
      </c>
      <c r="D1397" s="53" t="s">
        <v>5005</v>
      </c>
      <c r="E1397" s="54" t="s">
        <v>860</v>
      </c>
      <c r="F1397" s="54" t="s">
        <v>239</v>
      </c>
    </row>
    <row r="1398" spans="1:6" ht="12" x14ac:dyDescent="0.2">
      <c r="A1398" s="65">
        <v>33929</v>
      </c>
      <c r="B1398" s="54" t="s">
        <v>2077</v>
      </c>
      <c r="C1398" s="54" t="s">
        <v>5006</v>
      </c>
      <c r="D1398" s="53" t="s">
        <v>5007</v>
      </c>
      <c r="E1398" s="54" t="s">
        <v>2077</v>
      </c>
      <c r="F1398" s="54" t="s">
        <v>154</v>
      </c>
    </row>
    <row r="1399" spans="1:6" ht="12" x14ac:dyDescent="0.2">
      <c r="A1399" s="65">
        <v>33936</v>
      </c>
      <c r="B1399" s="54" t="s">
        <v>861</v>
      </c>
      <c r="C1399" s="54" t="s">
        <v>5008</v>
      </c>
      <c r="D1399" s="53" t="s">
        <v>2491</v>
      </c>
      <c r="E1399" s="54" t="s">
        <v>91</v>
      </c>
      <c r="F1399" s="54" t="s">
        <v>84</v>
      </c>
    </row>
    <row r="1400" spans="1:6" ht="12" x14ac:dyDescent="0.2">
      <c r="A1400" s="63" t="s">
        <v>5009</v>
      </c>
      <c r="B1400" s="54" t="s">
        <v>862</v>
      </c>
      <c r="C1400" s="54" t="s">
        <v>5010</v>
      </c>
      <c r="D1400" s="53" t="s">
        <v>2766</v>
      </c>
      <c r="E1400" s="54" t="s">
        <v>581</v>
      </c>
      <c r="F1400" s="54" t="s">
        <v>37</v>
      </c>
    </row>
    <row r="1401" spans="1:6" ht="12" x14ac:dyDescent="0.2">
      <c r="A1401" s="65">
        <v>33940</v>
      </c>
      <c r="B1401" s="54" t="s">
        <v>5011</v>
      </c>
      <c r="C1401" s="54" t="s">
        <v>5012</v>
      </c>
      <c r="D1401" s="53" t="s">
        <v>5013</v>
      </c>
      <c r="E1401" s="54" t="s">
        <v>5011</v>
      </c>
      <c r="F1401" s="54" t="s">
        <v>174</v>
      </c>
    </row>
    <row r="1402" spans="1:6" ht="12" x14ac:dyDescent="0.2">
      <c r="A1402" s="65">
        <v>33956</v>
      </c>
      <c r="B1402" s="54" t="s">
        <v>863</v>
      </c>
      <c r="C1402" s="54" t="s">
        <v>5014</v>
      </c>
      <c r="D1402" s="53" t="s">
        <v>5015</v>
      </c>
      <c r="E1402" s="54" t="s">
        <v>863</v>
      </c>
      <c r="F1402" s="54" t="s">
        <v>239</v>
      </c>
    </row>
    <row r="1403" spans="1:6" ht="12" x14ac:dyDescent="0.2">
      <c r="A1403" s="65">
        <v>33962</v>
      </c>
      <c r="B1403" s="54" t="s">
        <v>2027</v>
      </c>
      <c r="C1403" s="54" t="s">
        <v>5016</v>
      </c>
      <c r="D1403" s="53" t="s">
        <v>5017</v>
      </c>
      <c r="E1403" s="54" t="s">
        <v>2027</v>
      </c>
      <c r="F1403" s="54" t="s">
        <v>2505</v>
      </c>
    </row>
    <row r="1404" spans="1:6" ht="12" x14ac:dyDescent="0.2">
      <c r="A1404" s="65">
        <v>33968</v>
      </c>
      <c r="B1404" s="54" t="s">
        <v>5018</v>
      </c>
      <c r="C1404" s="54" t="s">
        <v>1914</v>
      </c>
      <c r="D1404" s="53" t="s">
        <v>5019</v>
      </c>
      <c r="E1404" s="54" t="s">
        <v>84</v>
      </c>
      <c r="F1404" s="54" t="s">
        <v>84</v>
      </c>
    </row>
    <row r="1405" spans="1:6" ht="12" x14ac:dyDescent="0.2">
      <c r="A1405" s="65">
        <v>33973</v>
      </c>
      <c r="B1405" s="54" t="s">
        <v>864</v>
      </c>
      <c r="C1405" s="54" t="s">
        <v>865</v>
      </c>
      <c r="D1405" s="53" t="s">
        <v>5020</v>
      </c>
      <c r="E1405" s="54" t="s">
        <v>866</v>
      </c>
      <c r="F1405" s="54" t="s">
        <v>342</v>
      </c>
    </row>
    <row r="1406" spans="1:6" ht="12" x14ac:dyDescent="0.2">
      <c r="A1406" s="65">
        <v>33977</v>
      </c>
      <c r="B1406" s="54" t="s">
        <v>867</v>
      </c>
      <c r="C1406" s="54" t="s">
        <v>5021</v>
      </c>
      <c r="D1406" s="53" t="s">
        <v>3298</v>
      </c>
      <c r="E1406" s="54" t="s">
        <v>595</v>
      </c>
      <c r="F1406" s="54" t="s">
        <v>80</v>
      </c>
    </row>
    <row r="1407" spans="1:6" ht="12" x14ac:dyDescent="0.2">
      <c r="A1407" s="65">
        <v>33979</v>
      </c>
      <c r="B1407" s="54" t="s">
        <v>434</v>
      </c>
      <c r="C1407" s="54" t="s">
        <v>5022</v>
      </c>
      <c r="D1407" s="53" t="s">
        <v>2502</v>
      </c>
      <c r="E1407" s="54" t="s">
        <v>157</v>
      </c>
      <c r="F1407" s="54" t="s">
        <v>158</v>
      </c>
    </row>
    <row r="1408" spans="1:6" ht="12" x14ac:dyDescent="0.2">
      <c r="A1408" s="65">
        <v>33988</v>
      </c>
      <c r="B1408" s="54" t="s">
        <v>5023</v>
      </c>
      <c r="C1408" s="54" t="s">
        <v>5024</v>
      </c>
      <c r="D1408" s="53" t="s">
        <v>5025</v>
      </c>
      <c r="E1408" s="54" t="s">
        <v>5023</v>
      </c>
      <c r="F1408" s="54" t="s">
        <v>65</v>
      </c>
    </row>
    <row r="1409" spans="1:6" ht="12" x14ac:dyDescent="0.2">
      <c r="A1409" s="65">
        <v>33992</v>
      </c>
      <c r="B1409" s="54" t="s">
        <v>5026</v>
      </c>
      <c r="C1409" s="54" t="s">
        <v>868</v>
      </c>
      <c r="D1409" s="53" t="s">
        <v>5027</v>
      </c>
      <c r="E1409" s="54" t="s">
        <v>869</v>
      </c>
      <c r="F1409" s="54" t="s">
        <v>101</v>
      </c>
    </row>
    <row r="1410" spans="1:6" ht="12" x14ac:dyDescent="0.2">
      <c r="A1410" s="65">
        <v>33995</v>
      </c>
      <c r="B1410" s="54" t="s">
        <v>870</v>
      </c>
      <c r="C1410" s="54" t="s">
        <v>5028</v>
      </c>
      <c r="D1410" s="53" t="s">
        <v>2683</v>
      </c>
      <c r="E1410" s="54" t="s">
        <v>871</v>
      </c>
      <c r="F1410" s="54" t="s">
        <v>48</v>
      </c>
    </row>
    <row r="1411" spans="1:6" ht="12" x14ac:dyDescent="0.2">
      <c r="A1411" s="65">
        <v>34002</v>
      </c>
      <c r="B1411" s="54" t="s">
        <v>435</v>
      </c>
      <c r="C1411" s="54" t="s">
        <v>5029</v>
      </c>
      <c r="D1411" s="53" t="s">
        <v>4213</v>
      </c>
      <c r="E1411" s="54" t="s">
        <v>433</v>
      </c>
      <c r="F1411" s="54" t="s">
        <v>36</v>
      </c>
    </row>
    <row r="1412" spans="1:6" ht="12" x14ac:dyDescent="0.2">
      <c r="A1412" s="65">
        <v>34010</v>
      </c>
      <c r="B1412" s="54" t="s">
        <v>872</v>
      </c>
      <c r="C1412" s="54" t="s">
        <v>5030</v>
      </c>
      <c r="D1412" s="53" t="s">
        <v>5031</v>
      </c>
      <c r="E1412" s="54" t="s">
        <v>872</v>
      </c>
      <c r="F1412" s="54" t="s">
        <v>84</v>
      </c>
    </row>
    <row r="1413" spans="1:6" ht="12" x14ac:dyDescent="0.2">
      <c r="A1413" s="65">
        <v>34016</v>
      </c>
      <c r="B1413" s="54" t="s">
        <v>134</v>
      </c>
      <c r="C1413" s="54" t="s">
        <v>5032</v>
      </c>
      <c r="D1413" s="53" t="s">
        <v>5033</v>
      </c>
      <c r="E1413" s="54" t="s">
        <v>2028</v>
      </c>
      <c r="F1413" s="54" t="s">
        <v>152</v>
      </c>
    </row>
    <row r="1414" spans="1:6" ht="12" x14ac:dyDescent="0.2">
      <c r="A1414" s="65">
        <v>34023</v>
      </c>
      <c r="B1414" s="54" t="s">
        <v>873</v>
      </c>
      <c r="C1414" s="54" t="s">
        <v>5034</v>
      </c>
      <c r="D1414" s="53" t="s">
        <v>5035</v>
      </c>
      <c r="E1414" s="54" t="s">
        <v>873</v>
      </c>
      <c r="F1414" s="54" t="s">
        <v>118</v>
      </c>
    </row>
    <row r="1415" spans="1:6" ht="12" x14ac:dyDescent="0.2">
      <c r="A1415" s="65">
        <v>34032</v>
      </c>
      <c r="B1415" s="54" t="s">
        <v>436</v>
      </c>
      <c r="C1415" s="54" t="s">
        <v>5036</v>
      </c>
      <c r="D1415" s="53" t="s">
        <v>5037</v>
      </c>
      <c r="E1415" s="54" t="s">
        <v>108</v>
      </c>
      <c r="F1415" s="54" t="s">
        <v>108</v>
      </c>
    </row>
    <row r="1416" spans="1:6" ht="12" x14ac:dyDescent="0.2">
      <c r="A1416" s="65">
        <v>34040</v>
      </c>
      <c r="B1416" s="54" t="s">
        <v>286</v>
      </c>
      <c r="C1416" s="54" t="s">
        <v>5038</v>
      </c>
      <c r="D1416" s="53" t="s">
        <v>3969</v>
      </c>
      <c r="E1416" s="54" t="s">
        <v>286</v>
      </c>
      <c r="F1416" s="54" t="s">
        <v>99</v>
      </c>
    </row>
    <row r="1417" spans="1:6" ht="12" x14ac:dyDescent="0.2">
      <c r="A1417" s="65">
        <v>34043</v>
      </c>
      <c r="B1417" s="54" t="s">
        <v>732</v>
      </c>
      <c r="C1417" s="54" t="s">
        <v>5039</v>
      </c>
      <c r="D1417" s="53" t="s">
        <v>5040</v>
      </c>
      <c r="E1417" s="54" t="s">
        <v>2029</v>
      </c>
      <c r="F1417" s="54" t="s">
        <v>89</v>
      </c>
    </row>
    <row r="1418" spans="1:6" ht="12" x14ac:dyDescent="0.2">
      <c r="A1418" s="65">
        <v>34046</v>
      </c>
      <c r="B1418" s="54" t="s">
        <v>874</v>
      </c>
      <c r="C1418" s="54" t="s">
        <v>875</v>
      </c>
      <c r="D1418" s="53" t="s">
        <v>2966</v>
      </c>
      <c r="E1418" s="54" t="s">
        <v>36</v>
      </c>
      <c r="F1418" s="54" t="s">
        <v>36</v>
      </c>
    </row>
    <row r="1419" spans="1:6" ht="12" x14ac:dyDescent="0.2">
      <c r="A1419" s="65">
        <v>34048</v>
      </c>
      <c r="B1419" s="54" t="s">
        <v>876</v>
      </c>
      <c r="C1419" s="54" t="s">
        <v>5041</v>
      </c>
      <c r="D1419" s="53" t="s">
        <v>5042</v>
      </c>
      <c r="E1419" s="54" t="s">
        <v>877</v>
      </c>
      <c r="F1419" s="54" t="s">
        <v>99</v>
      </c>
    </row>
    <row r="1420" spans="1:6" ht="12" x14ac:dyDescent="0.2">
      <c r="A1420" s="65">
        <v>34052</v>
      </c>
      <c r="B1420" s="54" t="s">
        <v>878</v>
      </c>
      <c r="C1420" s="54" t="s">
        <v>879</v>
      </c>
      <c r="D1420" s="53" t="s">
        <v>5043</v>
      </c>
      <c r="E1420" s="54" t="s">
        <v>880</v>
      </c>
      <c r="F1420" s="54" t="s">
        <v>2553</v>
      </c>
    </row>
    <row r="1421" spans="1:6" ht="12" x14ac:dyDescent="0.2">
      <c r="A1421" s="65">
        <v>34053</v>
      </c>
      <c r="B1421" s="54" t="s">
        <v>881</v>
      </c>
      <c r="C1421" s="54" t="s">
        <v>882</v>
      </c>
      <c r="D1421" s="53" t="s">
        <v>5044</v>
      </c>
      <c r="E1421" s="54" t="s">
        <v>883</v>
      </c>
      <c r="F1421" s="54" t="s">
        <v>48</v>
      </c>
    </row>
    <row r="1422" spans="1:6" ht="12" x14ac:dyDescent="0.2">
      <c r="A1422" s="65">
        <v>34054</v>
      </c>
      <c r="B1422" s="54" t="s">
        <v>437</v>
      </c>
      <c r="C1422" s="54" t="s">
        <v>5045</v>
      </c>
      <c r="D1422" s="53" t="s">
        <v>5046</v>
      </c>
      <c r="E1422" s="54" t="s">
        <v>437</v>
      </c>
      <c r="F1422" s="54" t="s">
        <v>48</v>
      </c>
    </row>
    <row r="1423" spans="1:6" ht="12" x14ac:dyDescent="0.2">
      <c r="A1423" s="65">
        <v>34055</v>
      </c>
      <c r="B1423" s="54" t="s">
        <v>5047</v>
      </c>
      <c r="C1423" s="54" t="s">
        <v>5048</v>
      </c>
      <c r="D1423" s="53" t="s">
        <v>5049</v>
      </c>
      <c r="E1423" s="54" t="s">
        <v>5047</v>
      </c>
      <c r="F1423" s="54" t="s">
        <v>152</v>
      </c>
    </row>
    <row r="1424" spans="1:6" ht="12" x14ac:dyDescent="0.2">
      <c r="A1424" s="65">
        <v>34056</v>
      </c>
      <c r="B1424" s="54" t="s">
        <v>884</v>
      </c>
      <c r="C1424" s="54" t="s">
        <v>5050</v>
      </c>
      <c r="D1424" s="53" t="s">
        <v>5051</v>
      </c>
      <c r="E1424" s="54" t="s">
        <v>884</v>
      </c>
      <c r="F1424" s="54" t="s">
        <v>152</v>
      </c>
    </row>
    <row r="1425" spans="1:6" ht="12" x14ac:dyDescent="0.2">
      <c r="A1425" s="65">
        <v>34057</v>
      </c>
      <c r="B1425" s="54" t="s">
        <v>885</v>
      </c>
      <c r="C1425" s="54" t="s">
        <v>5052</v>
      </c>
      <c r="D1425" s="53" t="s">
        <v>3093</v>
      </c>
      <c r="E1425" s="54" t="s">
        <v>568</v>
      </c>
      <c r="F1425" s="54" t="s">
        <v>152</v>
      </c>
    </row>
    <row r="1426" spans="1:6" ht="12" x14ac:dyDescent="0.2">
      <c r="A1426" s="65">
        <v>34058</v>
      </c>
      <c r="B1426" s="54" t="s">
        <v>1231</v>
      </c>
      <c r="C1426" s="54" t="s">
        <v>5053</v>
      </c>
      <c r="D1426" s="53" t="s">
        <v>3666</v>
      </c>
      <c r="E1426" s="54" t="s">
        <v>1231</v>
      </c>
      <c r="F1426" s="54" t="s">
        <v>152</v>
      </c>
    </row>
    <row r="1427" spans="1:6" ht="12" x14ac:dyDescent="0.2">
      <c r="A1427" s="66">
        <v>34069</v>
      </c>
      <c r="B1427" s="54" t="s">
        <v>886</v>
      </c>
      <c r="C1427" s="54" t="s">
        <v>5054</v>
      </c>
      <c r="D1427" s="53" t="s">
        <v>5055</v>
      </c>
      <c r="E1427" s="54" t="s">
        <v>887</v>
      </c>
      <c r="F1427" s="54" t="s">
        <v>887</v>
      </c>
    </row>
    <row r="1428" spans="1:6" ht="12" x14ac:dyDescent="0.2">
      <c r="A1428" s="65">
        <v>34071</v>
      </c>
      <c r="B1428" s="54" t="s">
        <v>5056</v>
      </c>
      <c r="C1428" s="54" t="s">
        <v>5057</v>
      </c>
      <c r="D1428" s="53" t="s">
        <v>3330</v>
      </c>
      <c r="E1428" s="54" t="s">
        <v>152</v>
      </c>
      <c r="F1428" s="54" t="s">
        <v>152</v>
      </c>
    </row>
    <row r="1429" spans="1:6" ht="12" x14ac:dyDescent="0.2">
      <c r="A1429" s="65">
        <v>34071</v>
      </c>
      <c r="B1429" s="54" t="s">
        <v>5056</v>
      </c>
      <c r="C1429" s="54" t="s">
        <v>5057</v>
      </c>
      <c r="D1429" s="53" t="s">
        <v>3330</v>
      </c>
      <c r="E1429" s="54" t="s">
        <v>152</v>
      </c>
      <c r="F1429" s="54" t="s">
        <v>152</v>
      </c>
    </row>
    <row r="1430" spans="1:6" ht="12" x14ac:dyDescent="0.2">
      <c r="A1430" s="65">
        <v>34075</v>
      </c>
      <c r="B1430" s="54" t="s">
        <v>546</v>
      </c>
      <c r="C1430" s="54" t="s">
        <v>5058</v>
      </c>
      <c r="D1430" s="53" t="s">
        <v>5059</v>
      </c>
      <c r="E1430" s="54" t="s">
        <v>546</v>
      </c>
      <c r="F1430" s="54" t="s">
        <v>51</v>
      </c>
    </row>
    <row r="1431" spans="1:6" ht="12" x14ac:dyDescent="0.2">
      <c r="A1431" s="65">
        <v>34087</v>
      </c>
      <c r="B1431" s="54" t="s">
        <v>1759</v>
      </c>
      <c r="C1431" s="54" t="s">
        <v>5060</v>
      </c>
      <c r="D1431" s="53" t="s">
        <v>5061</v>
      </c>
      <c r="E1431" s="54" t="s">
        <v>1759</v>
      </c>
      <c r="F1431" s="54" t="s">
        <v>118</v>
      </c>
    </row>
    <row r="1432" spans="1:6" ht="12" x14ac:dyDescent="0.2">
      <c r="A1432" s="65">
        <v>34088</v>
      </c>
      <c r="B1432" s="54" t="s">
        <v>2030</v>
      </c>
      <c r="C1432" s="54" t="s">
        <v>5062</v>
      </c>
      <c r="D1432" s="53" t="s">
        <v>5063</v>
      </c>
      <c r="E1432" s="54" t="s">
        <v>2030</v>
      </c>
      <c r="F1432" s="54" t="s">
        <v>118</v>
      </c>
    </row>
    <row r="1433" spans="1:6" ht="12" x14ac:dyDescent="0.2">
      <c r="A1433" s="65">
        <v>34091</v>
      </c>
      <c r="B1433" s="54" t="s">
        <v>888</v>
      </c>
      <c r="C1433" s="54" t="s">
        <v>1980</v>
      </c>
      <c r="D1433" s="53" t="s">
        <v>5064</v>
      </c>
      <c r="E1433" s="54" t="s">
        <v>37</v>
      </c>
      <c r="F1433" s="54" t="s">
        <v>37</v>
      </c>
    </row>
    <row r="1434" spans="1:6" ht="12" x14ac:dyDescent="0.2">
      <c r="A1434" s="65">
        <v>34093</v>
      </c>
      <c r="B1434" s="54" t="s">
        <v>5065</v>
      </c>
      <c r="C1434" s="54" t="s">
        <v>5066</v>
      </c>
      <c r="D1434" s="53" t="s">
        <v>5067</v>
      </c>
      <c r="E1434" s="54" t="s">
        <v>332</v>
      </c>
      <c r="F1434" s="54" t="s">
        <v>332</v>
      </c>
    </row>
    <row r="1435" spans="1:6" ht="12" x14ac:dyDescent="0.2">
      <c r="A1435" s="65">
        <v>34101</v>
      </c>
      <c r="B1435" s="54" t="s">
        <v>438</v>
      </c>
      <c r="C1435" s="54" t="s">
        <v>5068</v>
      </c>
      <c r="D1435" s="53" t="s">
        <v>5069</v>
      </c>
      <c r="E1435" s="54" t="s">
        <v>438</v>
      </c>
      <c r="F1435" s="54" t="s">
        <v>378</v>
      </c>
    </row>
    <row r="1436" spans="1:6" ht="12" x14ac:dyDescent="0.2">
      <c r="A1436" s="65">
        <v>34102</v>
      </c>
      <c r="B1436" s="54" t="s">
        <v>223</v>
      </c>
      <c r="C1436" s="54" t="s">
        <v>5070</v>
      </c>
      <c r="D1436" s="53" t="s">
        <v>5071</v>
      </c>
      <c r="E1436" s="54" t="s">
        <v>889</v>
      </c>
      <c r="F1436" s="54" t="s">
        <v>118</v>
      </c>
    </row>
    <row r="1437" spans="1:6" ht="12" x14ac:dyDescent="0.2">
      <c r="A1437" s="65">
        <v>34103</v>
      </c>
      <c r="B1437" s="54" t="s">
        <v>890</v>
      </c>
      <c r="C1437" s="54" t="s">
        <v>5072</v>
      </c>
      <c r="D1437" s="53" t="s">
        <v>2608</v>
      </c>
      <c r="E1437" s="54" t="s">
        <v>891</v>
      </c>
      <c r="F1437" s="54" t="s">
        <v>342</v>
      </c>
    </row>
    <row r="1438" spans="1:6" ht="12" x14ac:dyDescent="0.2">
      <c r="A1438" s="65">
        <v>34104</v>
      </c>
      <c r="B1438" s="54" t="s">
        <v>892</v>
      </c>
      <c r="C1438" s="54" t="s">
        <v>893</v>
      </c>
      <c r="D1438" s="53" t="s">
        <v>5064</v>
      </c>
      <c r="E1438" s="54" t="s">
        <v>37</v>
      </c>
      <c r="F1438" s="54" t="s">
        <v>37</v>
      </c>
    </row>
    <row r="1439" spans="1:6" ht="12" x14ac:dyDescent="0.2">
      <c r="A1439" s="65">
        <v>34124</v>
      </c>
      <c r="B1439" s="54" t="s">
        <v>894</v>
      </c>
      <c r="C1439" s="54" t="s">
        <v>5073</v>
      </c>
      <c r="D1439" s="53" t="s">
        <v>5074</v>
      </c>
      <c r="E1439" s="54" t="s">
        <v>894</v>
      </c>
      <c r="F1439" s="54" t="s">
        <v>36</v>
      </c>
    </row>
    <row r="1440" spans="1:6" ht="12" x14ac:dyDescent="0.2">
      <c r="A1440" s="65">
        <v>34128</v>
      </c>
      <c r="B1440" s="54" t="s">
        <v>895</v>
      </c>
      <c r="C1440" s="54" t="s">
        <v>5075</v>
      </c>
      <c r="D1440" s="53" t="s">
        <v>5076</v>
      </c>
      <c r="E1440" s="54" t="s">
        <v>847</v>
      </c>
      <c r="F1440" s="54" t="s">
        <v>50</v>
      </c>
    </row>
    <row r="1441" spans="1:6" ht="12" x14ac:dyDescent="0.2">
      <c r="A1441" s="65">
        <v>34134</v>
      </c>
      <c r="B1441" s="54" t="s">
        <v>5077</v>
      </c>
      <c r="C1441" s="54" t="s">
        <v>5078</v>
      </c>
      <c r="D1441" s="53" t="s">
        <v>4692</v>
      </c>
      <c r="E1441" s="54" t="s">
        <v>2031</v>
      </c>
      <c r="F1441" s="54" t="s">
        <v>342</v>
      </c>
    </row>
    <row r="1442" spans="1:6" ht="12" x14ac:dyDescent="0.2">
      <c r="A1442" s="65">
        <v>34134</v>
      </c>
      <c r="B1442" s="54" t="s">
        <v>5077</v>
      </c>
      <c r="C1442" s="54" t="s">
        <v>5078</v>
      </c>
      <c r="D1442" s="53" t="s">
        <v>4692</v>
      </c>
      <c r="E1442" s="54" t="s">
        <v>2031</v>
      </c>
      <c r="F1442" s="54" t="s">
        <v>342</v>
      </c>
    </row>
    <row r="1443" spans="1:6" ht="12" x14ac:dyDescent="0.2">
      <c r="A1443" s="65">
        <v>34139</v>
      </c>
      <c r="B1443" s="54" t="s">
        <v>896</v>
      </c>
      <c r="C1443" s="54" t="s">
        <v>5079</v>
      </c>
      <c r="D1443" s="53" t="s">
        <v>5080</v>
      </c>
      <c r="E1443" s="54" t="s">
        <v>896</v>
      </c>
      <c r="F1443" s="54" t="s">
        <v>36</v>
      </c>
    </row>
    <row r="1444" spans="1:6" ht="12" x14ac:dyDescent="0.2">
      <c r="A1444" s="65">
        <v>34146</v>
      </c>
      <c r="B1444" s="54" t="s">
        <v>1760</v>
      </c>
      <c r="C1444" s="54" t="s">
        <v>5081</v>
      </c>
      <c r="D1444" s="53" t="s">
        <v>5082</v>
      </c>
      <c r="E1444" s="54" t="s">
        <v>1760</v>
      </c>
      <c r="F1444" s="54" t="s">
        <v>2840</v>
      </c>
    </row>
    <row r="1445" spans="1:6" ht="12" x14ac:dyDescent="0.2">
      <c r="A1445" s="65">
        <v>34159</v>
      </c>
      <c r="B1445" s="54" t="s">
        <v>2095</v>
      </c>
      <c r="C1445" s="54" t="s">
        <v>5083</v>
      </c>
      <c r="D1445" s="53" t="s">
        <v>4877</v>
      </c>
      <c r="E1445" s="54" t="s">
        <v>424</v>
      </c>
      <c r="F1445" s="54" t="s">
        <v>174</v>
      </c>
    </row>
    <row r="1446" spans="1:6" ht="12" x14ac:dyDescent="0.2">
      <c r="A1446" s="65">
        <v>34172</v>
      </c>
      <c r="B1446" s="54" t="s">
        <v>897</v>
      </c>
      <c r="C1446" s="54" t="s">
        <v>898</v>
      </c>
      <c r="D1446" s="53" t="s">
        <v>2720</v>
      </c>
      <c r="E1446" s="54" t="s">
        <v>899</v>
      </c>
      <c r="F1446" s="54" t="s">
        <v>37</v>
      </c>
    </row>
    <row r="1447" spans="1:6" ht="12" x14ac:dyDescent="0.2">
      <c r="A1447" s="65">
        <v>34181</v>
      </c>
      <c r="B1447" s="54" t="s">
        <v>5084</v>
      </c>
      <c r="C1447" s="54" t="s">
        <v>5085</v>
      </c>
      <c r="D1447" s="53" t="s">
        <v>5086</v>
      </c>
      <c r="E1447" s="54" t="s">
        <v>5084</v>
      </c>
      <c r="F1447" s="54" t="s">
        <v>158</v>
      </c>
    </row>
    <row r="1448" spans="1:6" ht="12" x14ac:dyDescent="0.2">
      <c r="A1448" s="65">
        <v>34191</v>
      </c>
      <c r="B1448" s="54" t="s">
        <v>439</v>
      </c>
      <c r="C1448" s="54" t="s">
        <v>5087</v>
      </c>
      <c r="D1448" s="53" t="s">
        <v>5088</v>
      </c>
      <c r="E1448" s="54" t="s">
        <v>158</v>
      </c>
      <c r="F1448" s="54" t="s">
        <v>158</v>
      </c>
    </row>
    <row r="1449" spans="1:6" ht="12" x14ac:dyDescent="0.2">
      <c r="A1449" s="65">
        <v>34193</v>
      </c>
      <c r="B1449" s="54" t="s">
        <v>786</v>
      </c>
      <c r="C1449" s="54" t="s">
        <v>5089</v>
      </c>
      <c r="D1449" s="53" t="s">
        <v>5090</v>
      </c>
      <c r="E1449" s="54" t="s">
        <v>900</v>
      </c>
      <c r="F1449" s="54" t="s">
        <v>152</v>
      </c>
    </row>
    <row r="1450" spans="1:6" ht="12" x14ac:dyDescent="0.2">
      <c r="A1450" s="65">
        <v>34194</v>
      </c>
      <c r="B1450" s="54" t="s">
        <v>901</v>
      </c>
      <c r="C1450" s="54" t="s">
        <v>5091</v>
      </c>
      <c r="D1450" s="53" t="s">
        <v>5092</v>
      </c>
      <c r="E1450" s="54" t="s">
        <v>902</v>
      </c>
      <c r="F1450" s="54" t="s">
        <v>152</v>
      </c>
    </row>
    <row r="1451" spans="1:6" ht="12" x14ac:dyDescent="0.2">
      <c r="A1451" s="65">
        <v>34195</v>
      </c>
      <c r="B1451" s="54" t="s">
        <v>2549</v>
      </c>
      <c r="C1451" s="54" t="s">
        <v>5093</v>
      </c>
      <c r="D1451" s="53" t="s">
        <v>2551</v>
      </c>
      <c r="E1451" s="54" t="s">
        <v>2552</v>
      </c>
      <c r="F1451" s="54" t="s">
        <v>2553</v>
      </c>
    </row>
    <row r="1452" spans="1:6" ht="12" x14ac:dyDescent="0.2">
      <c r="A1452" s="65">
        <v>34206</v>
      </c>
      <c r="B1452" s="54" t="s">
        <v>5094</v>
      </c>
      <c r="C1452" s="54" t="s">
        <v>1971</v>
      </c>
      <c r="D1452" s="53" t="s">
        <v>5095</v>
      </c>
      <c r="E1452" s="54" t="s">
        <v>903</v>
      </c>
      <c r="F1452" s="54" t="s">
        <v>145</v>
      </c>
    </row>
    <row r="1453" spans="1:6" ht="12" x14ac:dyDescent="0.2">
      <c r="A1453" s="65">
        <v>34207</v>
      </c>
      <c r="B1453" s="54" t="s">
        <v>904</v>
      </c>
      <c r="C1453" s="54" t="s">
        <v>5096</v>
      </c>
      <c r="D1453" s="53" t="s">
        <v>5097</v>
      </c>
      <c r="E1453" s="54" t="s">
        <v>5098</v>
      </c>
      <c r="F1453" s="54" t="s">
        <v>887</v>
      </c>
    </row>
    <row r="1454" spans="1:6" ht="12" x14ac:dyDescent="0.2">
      <c r="A1454" s="65">
        <v>34216</v>
      </c>
      <c r="B1454" s="54" t="s">
        <v>905</v>
      </c>
      <c r="C1454" s="54" t="s">
        <v>5099</v>
      </c>
      <c r="D1454" s="53" t="s">
        <v>4022</v>
      </c>
      <c r="E1454" s="54" t="s">
        <v>301</v>
      </c>
      <c r="F1454" s="54" t="s">
        <v>89</v>
      </c>
    </row>
    <row r="1455" spans="1:6" ht="12" x14ac:dyDescent="0.2">
      <c r="A1455" s="65">
        <v>34217</v>
      </c>
      <c r="B1455" s="54" t="s">
        <v>906</v>
      </c>
      <c r="C1455" s="54" t="s">
        <v>5100</v>
      </c>
      <c r="D1455" s="53" t="s">
        <v>5101</v>
      </c>
      <c r="E1455" s="54" t="s">
        <v>907</v>
      </c>
      <c r="F1455" s="54" t="s">
        <v>89</v>
      </c>
    </row>
    <row r="1456" spans="1:6" ht="12" x14ac:dyDescent="0.2">
      <c r="A1456" s="65">
        <v>34219</v>
      </c>
      <c r="B1456" s="54" t="s">
        <v>908</v>
      </c>
      <c r="C1456" s="54" t="s">
        <v>5102</v>
      </c>
      <c r="D1456" s="53" t="s">
        <v>5103</v>
      </c>
      <c r="E1456" s="54" t="s">
        <v>908</v>
      </c>
      <c r="F1456" s="54" t="s">
        <v>37</v>
      </c>
    </row>
    <row r="1457" spans="1:6" ht="12" x14ac:dyDescent="0.2">
      <c r="A1457" s="65">
        <v>34221</v>
      </c>
      <c r="B1457" s="54" t="s">
        <v>440</v>
      </c>
      <c r="C1457" s="54" t="s">
        <v>5104</v>
      </c>
      <c r="D1457" s="53" t="s">
        <v>5105</v>
      </c>
      <c r="E1457" s="54" t="s">
        <v>152</v>
      </c>
      <c r="F1457" s="54" t="s">
        <v>152</v>
      </c>
    </row>
    <row r="1458" spans="1:6" ht="12" x14ac:dyDescent="0.2">
      <c r="A1458" s="65">
        <v>34222</v>
      </c>
      <c r="B1458" s="54" t="s">
        <v>103</v>
      </c>
      <c r="C1458" s="54" t="s">
        <v>5106</v>
      </c>
      <c r="D1458" s="53" t="s">
        <v>5107</v>
      </c>
      <c r="E1458" s="54" t="s">
        <v>5108</v>
      </c>
      <c r="F1458" s="54" t="s">
        <v>152</v>
      </c>
    </row>
    <row r="1459" spans="1:6" ht="12" x14ac:dyDescent="0.2">
      <c r="A1459" s="65">
        <v>34224</v>
      </c>
      <c r="B1459" s="54" t="s">
        <v>909</v>
      </c>
      <c r="C1459" s="54" t="s">
        <v>5109</v>
      </c>
      <c r="D1459" s="53" t="s">
        <v>5110</v>
      </c>
      <c r="E1459" s="54" t="s">
        <v>910</v>
      </c>
      <c r="F1459" s="54" t="s">
        <v>116</v>
      </c>
    </row>
    <row r="1460" spans="1:6" ht="12" x14ac:dyDescent="0.2">
      <c r="A1460" s="65">
        <v>34243</v>
      </c>
      <c r="B1460" s="54" t="s">
        <v>1761</v>
      </c>
      <c r="C1460" s="54" t="s">
        <v>5111</v>
      </c>
      <c r="D1460" s="53" t="s">
        <v>5112</v>
      </c>
      <c r="E1460" s="54" t="s">
        <v>1761</v>
      </c>
      <c r="F1460" s="54" t="s">
        <v>112</v>
      </c>
    </row>
    <row r="1461" spans="1:6" ht="12" x14ac:dyDescent="0.2">
      <c r="A1461" s="65">
        <v>34248</v>
      </c>
      <c r="B1461" s="54" t="s">
        <v>911</v>
      </c>
      <c r="C1461" s="54" t="s">
        <v>5113</v>
      </c>
      <c r="D1461" s="53" t="s">
        <v>5114</v>
      </c>
      <c r="E1461" s="54" t="s">
        <v>202</v>
      </c>
      <c r="F1461" s="54" t="s">
        <v>135</v>
      </c>
    </row>
    <row r="1462" spans="1:6" ht="12" x14ac:dyDescent="0.2">
      <c r="A1462" s="65">
        <v>34255</v>
      </c>
      <c r="B1462" s="54" t="s">
        <v>912</v>
      </c>
      <c r="C1462" s="54" t="s">
        <v>5115</v>
      </c>
      <c r="D1462" s="53" t="s">
        <v>4468</v>
      </c>
      <c r="E1462" s="54" t="s">
        <v>913</v>
      </c>
      <c r="F1462" s="54" t="s">
        <v>38</v>
      </c>
    </row>
    <row r="1463" spans="1:6" ht="12" x14ac:dyDescent="0.2">
      <c r="A1463" s="65">
        <v>34265</v>
      </c>
      <c r="B1463" s="54" t="s">
        <v>222</v>
      </c>
      <c r="C1463" s="54" t="s">
        <v>5116</v>
      </c>
      <c r="D1463" s="53" t="s">
        <v>3468</v>
      </c>
      <c r="E1463" s="54" t="s">
        <v>244</v>
      </c>
      <c r="F1463" s="54" t="s">
        <v>37</v>
      </c>
    </row>
    <row r="1464" spans="1:6" ht="12" x14ac:dyDescent="0.2">
      <c r="A1464" s="65">
        <v>34267</v>
      </c>
      <c r="B1464" s="54" t="s">
        <v>103</v>
      </c>
      <c r="C1464" s="54" t="s">
        <v>5117</v>
      </c>
      <c r="D1464" s="53" t="s">
        <v>4158</v>
      </c>
      <c r="E1464" s="54" t="s">
        <v>914</v>
      </c>
      <c r="F1464" s="54" t="s">
        <v>36</v>
      </c>
    </row>
    <row r="1465" spans="1:6" ht="12" x14ac:dyDescent="0.2">
      <c r="A1465" s="65">
        <v>34278</v>
      </c>
      <c r="B1465" s="54" t="s">
        <v>915</v>
      </c>
      <c r="C1465" s="54" t="s">
        <v>5118</v>
      </c>
      <c r="D1465" s="53" t="s">
        <v>5119</v>
      </c>
      <c r="E1465" s="54" t="s">
        <v>916</v>
      </c>
      <c r="F1465" s="54" t="s">
        <v>239</v>
      </c>
    </row>
    <row r="1466" spans="1:6" ht="12" x14ac:dyDescent="0.2">
      <c r="A1466" s="65">
        <v>34280</v>
      </c>
      <c r="B1466" s="54" t="s">
        <v>441</v>
      </c>
      <c r="C1466" s="54" t="s">
        <v>5120</v>
      </c>
      <c r="D1466" s="53" t="s">
        <v>2885</v>
      </c>
      <c r="E1466" s="54" t="s">
        <v>152</v>
      </c>
      <c r="F1466" s="54" t="s">
        <v>152</v>
      </c>
    </row>
    <row r="1467" spans="1:6" ht="12" x14ac:dyDescent="0.2">
      <c r="A1467" s="65">
        <v>34288</v>
      </c>
      <c r="B1467" s="54" t="s">
        <v>442</v>
      </c>
      <c r="C1467" s="54" t="s">
        <v>5121</v>
      </c>
      <c r="D1467" s="53" t="s">
        <v>5122</v>
      </c>
      <c r="E1467" s="54" t="s">
        <v>5123</v>
      </c>
      <c r="F1467" s="54" t="s">
        <v>207</v>
      </c>
    </row>
    <row r="1468" spans="1:6" ht="12" x14ac:dyDescent="0.2">
      <c r="A1468" s="65">
        <v>34294</v>
      </c>
      <c r="B1468" s="54" t="s">
        <v>917</v>
      </c>
      <c r="C1468" s="54" t="s">
        <v>5124</v>
      </c>
      <c r="D1468" s="53" t="s">
        <v>5125</v>
      </c>
      <c r="E1468" s="54" t="s">
        <v>918</v>
      </c>
      <c r="F1468" s="54" t="s">
        <v>332</v>
      </c>
    </row>
    <row r="1469" spans="1:6" ht="12" x14ac:dyDescent="0.2">
      <c r="A1469" s="65">
        <v>34297</v>
      </c>
      <c r="B1469" s="54" t="s">
        <v>919</v>
      </c>
      <c r="C1469" s="54" t="s">
        <v>5126</v>
      </c>
      <c r="D1469" s="53" t="s">
        <v>5127</v>
      </c>
      <c r="E1469" s="54" t="s">
        <v>920</v>
      </c>
      <c r="F1469" s="54" t="s">
        <v>36</v>
      </c>
    </row>
    <row r="1470" spans="1:6" ht="12" x14ac:dyDescent="0.2">
      <c r="A1470" s="65">
        <v>34300</v>
      </c>
      <c r="B1470" s="54" t="s">
        <v>887</v>
      </c>
      <c r="C1470" s="54" t="s">
        <v>5128</v>
      </c>
      <c r="D1470" s="53" t="s">
        <v>5055</v>
      </c>
      <c r="E1470" s="54" t="s">
        <v>887</v>
      </c>
      <c r="F1470" s="54" t="s">
        <v>887</v>
      </c>
    </row>
    <row r="1471" spans="1:6" ht="12" x14ac:dyDescent="0.2">
      <c r="A1471" s="65">
        <v>34303</v>
      </c>
      <c r="B1471" s="54" t="s">
        <v>2032</v>
      </c>
      <c r="C1471" s="54" t="s">
        <v>5129</v>
      </c>
      <c r="D1471" s="53" t="s">
        <v>5130</v>
      </c>
      <c r="E1471" s="54" t="s">
        <v>2033</v>
      </c>
      <c r="F1471" s="54" t="s">
        <v>239</v>
      </c>
    </row>
    <row r="1472" spans="1:6" ht="12" x14ac:dyDescent="0.2">
      <c r="A1472" s="65">
        <v>34324</v>
      </c>
      <c r="B1472" s="54" t="s">
        <v>443</v>
      </c>
      <c r="C1472" s="54" t="s">
        <v>5131</v>
      </c>
      <c r="D1472" s="53" t="s">
        <v>4273</v>
      </c>
      <c r="E1472" s="54" t="s">
        <v>444</v>
      </c>
      <c r="F1472" s="54" t="s">
        <v>145</v>
      </c>
    </row>
    <row r="1473" spans="1:6" ht="12" x14ac:dyDescent="0.2">
      <c r="A1473" s="65">
        <v>34350</v>
      </c>
      <c r="B1473" s="54" t="s">
        <v>5132</v>
      </c>
      <c r="C1473" s="54" t="s">
        <v>5133</v>
      </c>
      <c r="D1473" s="53" t="s">
        <v>3093</v>
      </c>
      <c r="E1473" s="54" t="s">
        <v>568</v>
      </c>
      <c r="F1473" s="54" t="s">
        <v>152</v>
      </c>
    </row>
    <row r="1474" spans="1:6" ht="12" x14ac:dyDescent="0.2">
      <c r="A1474" s="65">
        <v>34350</v>
      </c>
      <c r="B1474" s="54" t="s">
        <v>5132</v>
      </c>
      <c r="C1474" s="54" t="s">
        <v>5133</v>
      </c>
      <c r="D1474" s="53" t="s">
        <v>3093</v>
      </c>
      <c r="E1474" s="54" t="s">
        <v>568</v>
      </c>
      <c r="F1474" s="54" t="s">
        <v>152</v>
      </c>
    </row>
    <row r="1475" spans="1:6" ht="12" x14ac:dyDescent="0.2">
      <c r="A1475" s="65">
        <v>34370</v>
      </c>
      <c r="B1475" s="54" t="s">
        <v>921</v>
      </c>
      <c r="C1475" s="54" t="s">
        <v>5134</v>
      </c>
      <c r="D1475" s="53" t="s">
        <v>5135</v>
      </c>
      <c r="E1475" s="54" t="s">
        <v>922</v>
      </c>
      <c r="F1475" s="54" t="s">
        <v>123</v>
      </c>
    </row>
    <row r="1476" spans="1:6" ht="12" x14ac:dyDescent="0.2">
      <c r="A1476" s="65">
        <v>34381</v>
      </c>
      <c r="B1476" s="54" t="s">
        <v>5136</v>
      </c>
      <c r="C1476" s="54" t="s">
        <v>5137</v>
      </c>
      <c r="D1476" s="53" t="s">
        <v>5138</v>
      </c>
      <c r="E1476" s="54" t="s">
        <v>82</v>
      </c>
      <c r="F1476" s="54" t="s">
        <v>82</v>
      </c>
    </row>
    <row r="1477" spans="1:6" ht="12" x14ac:dyDescent="0.2">
      <c r="A1477" s="65">
        <v>34382</v>
      </c>
      <c r="B1477" s="54" t="s">
        <v>1763</v>
      </c>
      <c r="C1477" s="54" t="s">
        <v>5139</v>
      </c>
      <c r="D1477" s="53" t="s">
        <v>5140</v>
      </c>
      <c r="E1477" s="54" t="s">
        <v>5141</v>
      </c>
      <c r="F1477" s="54" t="s">
        <v>82</v>
      </c>
    </row>
    <row r="1478" spans="1:6" ht="12" x14ac:dyDescent="0.2">
      <c r="A1478" s="65">
        <v>34417</v>
      </c>
      <c r="B1478" s="54" t="s">
        <v>923</v>
      </c>
      <c r="C1478" s="54" t="s">
        <v>5142</v>
      </c>
      <c r="D1478" s="53" t="s">
        <v>5143</v>
      </c>
      <c r="E1478" s="54" t="s">
        <v>65</v>
      </c>
      <c r="F1478" s="54" t="s">
        <v>65</v>
      </c>
    </row>
    <row r="1479" spans="1:6" ht="12" x14ac:dyDescent="0.2">
      <c r="A1479" s="65">
        <v>34422</v>
      </c>
      <c r="B1479" s="54" t="s">
        <v>924</v>
      </c>
      <c r="C1479" s="54" t="s">
        <v>5144</v>
      </c>
      <c r="D1479" s="53" t="s">
        <v>5145</v>
      </c>
      <c r="E1479" s="54" t="s">
        <v>680</v>
      </c>
      <c r="F1479" s="54" t="s">
        <v>171</v>
      </c>
    </row>
    <row r="1480" spans="1:6" ht="12" x14ac:dyDescent="0.2">
      <c r="A1480" s="65">
        <v>34431</v>
      </c>
      <c r="B1480" s="54" t="s">
        <v>445</v>
      </c>
      <c r="C1480" s="54" t="s">
        <v>5146</v>
      </c>
      <c r="D1480" s="53" t="s">
        <v>5147</v>
      </c>
      <c r="E1480" s="54" t="s">
        <v>446</v>
      </c>
      <c r="F1480" s="54" t="s">
        <v>82</v>
      </c>
    </row>
    <row r="1481" spans="1:6" ht="12" x14ac:dyDescent="0.2">
      <c r="A1481" s="65">
        <v>34446</v>
      </c>
      <c r="B1481" s="54" t="s">
        <v>80</v>
      </c>
      <c r="C1481" s="54" t="s">
        <v>5148</v>
      </c>
      <c r="D1481" s="53" t="s">
        <v>5149</v>
      </c>
      <c r="E1481" s="54" t="s">
        <v>80</v>
      </c>
      <c r="F1481" s="54" t="s">
        <v>80</v>
      </c>
    </row>
    <row r="1482" spans="1:6" ht="12" x14ac:dyDescent="0.2">
      <c r="A1482" s="65">
        <v>34447</v>
      </c>
      <c r="B1482" s="54" t="s">
        <v>447</v>
      </c>
      <c r="C1482" s="54" t="s">
        <v>5150</v>
      </c>
      <c r="D1482" s="53" t="s">
        <v>5151</v>
      </c>
      <c r="E1482" s="54" t="s">
        <v>89</v>
      </c>
      <c r="F1482" s="54" t="s">
        <v>89</v>
      </c>
    </row>
    <row r="1483" spans="1:6" ht="12" x14ac:dyDescent="0.2">
      <c r="A1483" s="65">
        <v>34483</v>
      </c>
      <c r="B1483" s="54" t="s">
        <v>925</v>
      </c>
      <c r="C1483" s="54" t="s">
        <v>5152</v>
      </c>
      <c r="D1483" s="53" t="s">
        <v>3254</v>
      </c>
      <c r="E1483" s="54" t="s">
        <v>926</v>
      </c>
      <c r="F1483" s="54" t="s">
        <v>253</v>
      </c>
    </row>
    <row r="1484" spans="1:6" ht="12" x14ac:dyDescent="0.2">
      <c r="A1484" s="65">
        <v>34485</v>
      </c>
      <c r="B1484" s="54" t="s">
        <v>927</v>
      </c>
      <c r="C1484" s="54" t="s">
        <v>928</v>
      </c>
      <c r="D1484" s="53" t="s">
        <v>5153</v>
      </c>
      <c r="E1484" s="54" t="s">
        <v>927</v>
      </c>
      <c r="F1484" s="54" t="s">
        <v>145</v>
      </c>
    </row>
    <row r="1485" spans="1:6" ht="12" x14ac:dyDescent="0.2">
      <c r="A1485" s="65">
        <v>34497</v>
      </c>
      <c r="B1485" s="54" t="s">
        <v>929</v>
      </c>
      <c r="C1485" s="54" t="s">
        <v>5154</v>
      </c>
      <c r="D1485" s="53" t="s">
        <v>5155</v>
      </c>
      <c r="E1485" s="54" t="s">
        <v>929</v>
      </c>
      <c r="F1485" s="54" t="s">
        <v>211</v>
      </c>
    </row>
    <row r="1486" spans="1:6" ht="12" x14ac:dyDescent="0.2">
      <c r="A1486" s="65">
        <v>34510</v>
      </c>
      <c r="B1486" s="54" t="s">
        <v>448</v>
      </c>
      <c r="C1486" s="54" t="s">
        <v>5156</v>
      </c>
      <c r="D1486" s="53" t="s">
        <v>5157</v>
      </c>
      <c r="E1486" s="54" t="s">
        <v>400</v>
      </c>
      <c r="F1486" s="54" t="s">
        <v>38</v>
      </c>
    </row>
    <row r="1487" spans="1:6" ht="12" x14ac:dyDescent="0.2">
      <c r="A1487" s="65">
        <v>34543</v>
      </c>
      <c r="B1487" s="54" t="s">
        <v>930</v>
      </c>
      <c r="C1487" s="54" t="s">
        <v>5158</v>
      </c>
      <c r="D1487" s="53" t="s">
        <v>5159</v>
      </c>
      <c r="E1487" s="54" t="s">
        <v>931</v>
      </c>
      <c r="F1487" s="54" t="s">
        <v>84</v>
      </c>
    </row>
    <row r="1488" spans="1:6" ht="12" x14ac:dyDescent="0.2">
      <c r="A1488" s="65">
        <v>34546</v>
      </c>
      <c r="B1488" s="54" t="s">
        <v>449</v>
      </c>
      <c r="C1488" s="54" t="s">
        <v>5160</v>
      </c>
      <c r="D1488" s="53" t="s">
        <v>5161</v>
      </c>
      <c r="E1488" s="54" t="s">
        <v>449</v>
      </c>
      <c r="F1488" s="54" t="s">
        <v>158</v>
      </c>
    </row>
    <row r="1489" spans="1:6" ht="12" x14ac:dyDescent="0.2">
      <c r="A1489" s="65">
        <v>34551</v>
      </c>
      <c r="B1489" s="54" t="s">
        <v>450</v>
      </c>
      <c r="C1489" s="54" t="s">
        <v>5162</v>
      </c>
      <c r="D1489" s="53" t="s">
        <v>5163</v>
      </c>
      <c r="E1489" s="54" t="s">
        <v>451</v>
      </c>
      <c r="F1489" s="54" t="s">
        <v>89</v>
      </c>
    </row>
    <row r="1490" spans="1:6" ht="12" x14ac:dyDescent="0.2">
      <c r="A1490" s="65">
        <v>34563</v>
      </c>
      <c r="B1490" s="54" t="s">
        <v>932</v>
      </c>
      <c r="C1490" s="54" t="s">
        <v>933</v>
      </c>
      <c r="D1490" s="53" t="s">
        <v>3314</v>
      </c>
      <c r="E1490" s="54" t="s">
        <v>934</v>
      </c>
      <c r="F1490" s="54" t="s">
        <v>82</v>
      </c>
    </row>
    <row r="1491" spans="1:6" ht="12" x14ac:dyDescent="0.2">
      <c r="A1491" s="65">
        <v>34572</v>
      </c>
      <c r="B1491" s="54" t="s">
        <v>452</v>
      </c>
      <c r="C1491" s="54" t="s">
        <v>453</v>
      </c>
      <c r="D1491" s="53" t="s">
        <v>5164</v>
      </c>
      <c r="E1491" s="54" t="s">
        <v>452</v>
      </c>
      <c r="F1491" s="54" t="s">
        <v>135</v>
      </c>
    </row>
    <row r="1492" spans="1:6" ht="12" x14ac:dyDescent="0.2">
      <c r="A1492" s="65">
        <v>34603</v>
      </c>
      <c r="B1492" s="54" t="s">
        <v>935</v>
      </c>
      <c r="C1492" s="54" t="s">
        <v>5165</v>
      </c>
      <c r="D1492" s="53" t="s">
        <v>5166</v>
      </c>
      <c r="E1492" s="54" t="s">
        <v>936</v>
      </c>
      <c r="F1492" s="54" t="s">
        <v>82</v>
      </c>
    </row>
    <row r="1493" spans="1:6" ht="12" x14ac:dyDescent="0.2">
      <c r="A1493" s="65">
        <v>34605</v>
      </c>
      <c r="B1493" s="54" t="s">
        <v>5167</v>
      </c>
      <c r="C1493" s="54" t="s">
        <v>5168</v>
      </c>
      <c r="D1493" s="53" t="s">
        <v>2502</v>
      </c>
      <c r="E1493" s="54" t="s">
        <v>157</v>
      </c>
      <c r="F1493" s="54" t="s">
        <v>158</v>
      </c>
    </row>
    <row r="1494" spans="1:6" ht="12" x14ac:dyDescent="0.2">
      <c r="A1494" s="65">
        <v>34608</v>
      </c>
      <c r="B1494" s="54" t="s">
        <v>1622</v>
      </c>
      <c r="C1494" s="54" t="s">
        <v>2034</v>
      </c>
      <c r="D1494" s="53" t="s">
        <v>5169</v>
      </c>
      <c r="E1494" s="54" t="s">
        <v>1622</v>
      </c>
      <c r="F1494" s="54" t="s">
        <v>2505</v>
      </c>
    </row>
    <row r="1495" spans="1:6" ht="12" x14ac:dyDescent="0.2">
      <c r="A1495" s="65">
        <v>34612</v>
      </c>
      <c r="B1495" s="54" t="s">
        <v>1764</v>
      </c>
      <c r="C1495" s="54" t="s">
        <v>1765</v>
      </c>
      <c r="D1495" s="53" t="s">
        <v>4471</v>
      </c>
      <c r="E1495" s="54" t="s">
        <v>152</v>
      </c>
      <c r="F1495" s="54" t="s">
        <v>152</v>
      </c>
    </row>
    <row r="1496" spans="1:6" ht="12" x14ac:dyDescent="0.2">
      <c r="A1496" s="65">
        <v>34613</v>
      </c>
      <c r="B1496" s="54" t="s">
        <v>2035</v>
      </c>
      <c r="C1496" s="54" t="s">
        <v>5170</v>
      </c>
      <c r="D1496" s="53" t="s">
        <v>5171</v>
      </c>
      <c r="E1496" s="54" t="s">
        <v>2035</v>
      </c>
      <c r="F1496" s="54" t="s">
        <v>84</v>
      </c>
    </row>
    <row r="1497" spans="1:6" ht="12" x14ac:dyDescent="0.2">
      <c r="A1497" s="65">
        <v>34616</v>
      </c>
      <c r="B1497" s="54" t="s">
        <v>937</v>
      </c>
      <c r="C1497" s="54" t="s">
        <v>5172</v>
      </c>
      <c r="D1497" s="53" t="s">
        <v>5173</v>
      </c>
      <c r="E1497" s="54" t="s">
        <v>938</v>
      </c>
      <c r="F1497" s="54" t="s">
        <v>158</v>
      </c>
    </row>
    <row r="1498" spans="1:6" ht="12" x14ac:dyDescent="0.2">
      <c r="A1498" s="65">
        <v>34626</v>
      </c>
      <c r="B1498" s="54" t="s">
        <v>939</v>
      </c>
      <c r="C1498" s="54" t="s">
        <v>940</v>
      </c>
      <c r="D1498" s="53" t="s">
        <v>5174</v>
      </c>
      <c r="E1498" s="54" t="s">
        <v>5175</v>
      </c>
      <c r="F1498" s="54" t="s">
        <v>135</v>
      </c>
    </row>
    <row r="1499" spans="1:6" ht="12" x14ac:dyDescent="0.2">
      <c r="A1499" s="65">
        <v>37013</v>
      </c>
      <c r="B1499" s="54" t="s">
        <v>1239</v>
      </c>
      <c r="C1499" s="54" t="s">
        <v>5176</v>
      </c>
      <c r="D1499" s="53" t="s">
        <v>5177</v>
      </c>
      <c r="E1499" s="54" t="s">
        <v>100</v>
      </c>
      <c r="F1499" s="54" t="s">
        <v>101</v>
      </c>
    </row>
    <row r="1500" spans="1:6" ht="12" x14ac:dyDescent="0.2">
      <c r="A1500" s="65">
        <v>37015</v>
      </c>
      <c r="B1500" s="54" t="s">
        <v>1766</v>
      </c>
      <c r="C1500" s="54" t="s">
        <v>4784</v>
      </c>
      <c r="D1500" s="53" t="s">
        <v>4785</v>
      </c>
      <c r="E1500" s="54" t="s">
        <v>177</v>
      </c>
      <c r="F1500" s="54" t="s">
        <v>177</v>
      </c>
    </row>
    <row r="1501" spans="1:6" ht="12" x14ac:dyDescent="0.2">
      <c r="A1501" s="65">
        <v>37058</v>
      </c>
      <c r="B1501" s="54" t="s">
        <v>941</v>
      </c>
      <c r="C1501" s="54" t="s">
        <v>3620</v>
      </c>
      <c r="D1501" s="53" t="s">
        <v>3621</v>
      </c>
      <c r="E1501" s="54" t="s">
        <v>84</v>
      </c>
      <c r="F1501" s="54" t="s">
        <v>84</v>
      </c>
    </row>
    <row r="1502" spans="1:6" ht="12" x14ac:dyDescent="0.2">
      <c r="A1502" s="65">
        <v>37076</v>
      </c>
      <c r="B1502" s="54" t="s">
        <v>942</v>
      </c>
      <c r="C1502" s="54" t="s">
        <v>2499</v>
      </c>
      <c r="D1502" s="53" t="s">
        <v>2500</v>
      </c>
      <c r="E1502" s="54" t="s">
        <v>105</v>
      </c>
      <c r="F1502" s="54" t="s">
        <v>84</v>
      </c>
    </row>
    <row r="1503" spans="1:6" ht="12" x14ac:dyDescent="0.2">
      <c r="A1503" s="65">
        <v>37077</v>
      </c>
      <c r="B1503" s="54" t="s">
        <v>5178</v>
      </c>
      <c r="C1503" s="54" t="s">
        <v>3044</v>
      </c>
      <c r="D1503" s="53" t="s">
        <v>2548</v>
      </c>
      <c r="E1503" s="54" t="s">
        <v>105</v>
      </c>
      <c r="F1503" s="54" t="s">
        <v>84</v>
      </c>
    </row>
    <row r="1504" spans="1:6" ht="12" x14ac:dyDescent="0.2">
      <c r="A1504" s="65">
        <v>37141</v>
      </c>
      <c r="B1504" s="54" t="s">
        <v>5179</v>
      </c>
      <c r="C1504" s="54" t="s">
        <v>2935</v>
      </c>
      <c r="D1504" s="53" t="s">
        <v>2936</v>
      </c>
      <c r="E1504" s="54" t="s">
        <v>1057</v>
      </c>
      <c r="F1504" s="54" t="s">
        <v>887</v>
      </c>
    </row>
    <row r="1505" spans="1:6" ht="12" x14ac:dyDescent="0.2">
      <c r="A1505" s="65">
        <v>37176</v>
      </c>
      <c r="B1505" s="54" t="s">
        <v>5180</v>
      </c>
      <c r="C1505" s="54" t="s">
        <v>3581</v>
      </c>
      <c r="D1505" s="53" t="s">
        <v>3582</v>
      </c>
      <c r="E1505" s="54" t="s">
        <v>528</v>
      </c>
      <c r="F1505" s="54" t="s">
        <v>108</v>
      </c>
    </row>
    <row r="1506" spans="1:6" ht="12" x14ac:dyDescent="0.2">
      <c r="A1506" s="65">
        <v>37179</v>
      </c>
      <c r="B1506" s="54" t="s">
        <v>5181</v>
      </c>
      <c r="C1506" s="54" t="s">
        <v>2827</v>
      </c>
      <c r="D1506" s="53" t="s">
        <v>2828</v>
      </c>
      <c r="E1506" s="54" t="s">
        <v>1039</v>
      </c>
      <c r="F1506" s="54" t="s">
        <v>887</v>
      </c>
    </row>
    <row r="1507" spans="1:6" ht="12" x14ac:dyDescent="0.2">
      <c r="A1507" s="65">
        <v>37184</v>
      </c>
      <c r="B1507" s="54" t="s">
        <v>5182</v>
      </c>
      <c r="C1507" s="54" t="s">
        <v>5183</v>
      </c>
      <c r="D1507" s="53" t="s">
        <v>5184</v>
      </c>
      <c r="E1507" s="54" t="s">
        <v>5185</v>
      </c>
      <c r="F1507" s="54" t="s">
        <v>80</v>
      </c>
    </row>
    <row r="1508" spans="1:6" ht="12" x14ac:dyDescent="0.2">
      <c r="A1508" s="65">
        <v>37186</v>
      </c>
      <c r="B1508" s="54" t="s">
        <v>454</v>
      </c>
      <c r="C1508" s="54" t="s">
        <v>4948</v>
      </c>
      <c r="D1508" s="53" t="s">
        <v>4949</v>
      </c>
      <c r="E1508" s="54" t="s">
        <v>455</v>
      </c>
      <c r="F1508" s="54" t="s">
        <v>108</v>
      </c>
    </row>
    <row r="1509" spans="1:6" ht="12" x14ac:dyDescent="0.2">
      <c r="A1509" s="65">
        <v>37190</v>
      </c>
      <c r="B1509" s="54" t="s">
        <v>456</v>
      </c>
      <c r="C1509" s="54" t="s">
        <v>4850</v>
      </c>
      <c r="D1509" s="53" t="s">
        <v>4106</v>
      </c>
      <c r="E1509" s="54" t="s">
        <v>4107</v>
      </c>
      <c r="F1509" s="54" t="s">
        <v>158</v>
      </c>
    </row>
    <row r="1510" spans="1:6" ht="12" x14ac:dyDescent="0.2">
      <c r="A1510" s="65">
        <v>37192</v>
      </c>
      <c r="B1510" s="54" t="s">
        <v>457</v>
      </c>
      <c r="C1510" s="54" t="s">
        <v>5066</v>
      </c>
      <c r="D1510" s="53" t="s">
        <v>5067</v>
      </c>
      <c r="E1510" s="54" t="s">
        <v>332</v>
      </c>
      <c r="F1510" s="54" t="s">
        <v>332</v>
      </c>
    </row>
    <row r="1511" spans="1:6" ht="12" x14ac:dyDescent="0.2">
      <c r="A1511" s="65">
        <v>37195</v>
      </c>
      <c r="B1511" s="54" t="s">
        <v>458</v>
      </c>
      <c r="C1511" s="54" t="s">
        <v>4768</v>
      </c>
      <c r="D1511" s="53" t="s">
        <v>4769</v>
      </c>
      <c r="E1511" s="54" t="s">
        <v>36</v>
      </c>
      <c r="F1511" s="54" t="s">
        <v>36</v>
      </c>
    </row>
    <row r="1512" spans="1:6" ht="12" x14ac:dyDescent="0.2">
      <c r="A1512" s="65">
        <v>37197</v>
      </c>
      <c r="B1512" s="54" t="s">
        <v>459</v>
      </c>
      <c r="C1512" s="54" t="s">
        <v>3407</v>
      </c>
      <c r="D1512" s="53" t="s">
        <v>3408</v>
      </c>
      <c r="E1512" s="54" t="s">
        <v>206</v>
      </c>
      <c r="F1512" s="54" t="s">
        <v>207</v>
      </c>
    </row>
    <row r="1513" spans="1:6" ht="12" x14ac:dyDescent="0.2">
      <c r="A1513" s="65">
        <v>37199</v>
      </c>
      <c r="B1513" s="54" t="s">
        <v>460</v>
      </c>
      <c r="C1513" s="54" t="s">
        <v>4709</v>
      </c>
      <c r="D1513" s="53" t="s">
        <v>4710</v>
      </c>
      <c r="E1513" s="54" t="s">
        <v>398</v>
      </c>
      <c r="F1513" s="54" t="s">
        <v>177</v>
      </c>
    </row>
    <row r="1514" spans="1:6" ht="12" x14ac:dyDescent="0.2">
      <c r="A1514" s="65">
        <v>37200</v>
      </c>
      <c r="B1514" s="54" t="s">
        <v>461</v>
      </c>
      <c r="C1514" s="54" t="s">
        <v>5162</v>
      </c>
      <c r="D1514" s="53" t="s">
        <v>5163</v>
      </c>
      <c r="E1514" s="54" t="s">
        <v>451</v>
      </c>
      <c r="F1514" s="54" t="s">
        <v>89</v>
      </c>
    </row>
    <row r="1515" spans="1:6" ht="12" x14ac:dyDescent="0.2">
      <c r="A1515" s="65">
        <v>37203</v>
      </c>
      <c r="B1515" s="54" t="s">
        <v>462</v>
      </c>
      <c r="C1515" s="54" t="s">
        <v>4789</v>
      </c>
      <c r="D1515" s="53" t="s">
        <v>4790</v>
      </c>
      <c r="E1515" s="54" t="s">
        <v>413</v>
      </c>
      <c r="F1515" s="54" t="s">
        <v>84</v>
      </c>
    </row>
    <row r="1516" spans="1:6" ht="12" x14ac:dyDescent="0.2">
      <c r="A1516" s="65">
        <v>37205</v>
      </c>
      <c r="B1516" s="54" t="s">
        <v>463</v>
      </c>
      <c r="C1516" s="52" t="s">
        <v>2547</v>
      </c>
      <c r="D1516" s="53" t="s">
        <v>2548</v>
      </c>
      <c r="E1516" s="52" t="s">
        <v>105</v>
      </c>
      <c r="F1516" s="52" t="s">
        <v>84</v>
      </c>
    </row>
    <row r="1517" spans="1:6" ht="12" x14ac:dyDescent="0.2">
      <c r="A1517" s="65">
        <v>37207</v>
      </c>
      <c r="B1517" s="54" t="s">
        <v>5186</v>
      </c>
      <c r="C1517" s="52" t="s">
        <v>3399</v>
      </c>
      <c r="D1517" s="53" t="s">
        <v>3400</v>
      </c>
      <c r="E1517" s="52" t="s">
        <v>204</v>
      </c>
      <c r="F1517" s="52" t="s">
        <v>101</v>
      </c>
    </row>
    <row r="1518" spans="1:6" ht="12" x14ac:dyDescent="0.2">
      <c r="A1518" s="65">
        <v>37209</v>
      </c>
      <c r="B1518" s="54" t="s">
        <v>1240</v>
      </c>
      <c r="C1518" s="52" t="s">
        <v>4791</v>
      </c>
      <c r="D1518" s="53" t="s">
        <v>4792</v>
      </c>
      <c r="E1518" s="52" t="s">
        <v>84</v>
      </c>
      <c r="F1518" s="52" t="s">
        <v>84</v>
      </c>
    </row>
    <row r="1519" spans="1:6" ht="12" x14ac:dyDescent="0.2">
      <c r="A1519" s="65">
        <v>37210</v>
      </c>
      <c r="B1519" s="54" t="s">
        <v>464</v>
      </c>
      <c r="C1519" s="52" t="s">
        <v>2886</v>
      </c>
      <c r="D1519" s="53" t="s">
        <v>2887</v>
      </c>
      <c r="E1519" s="52" t="s">
        <v>143</v>
      </c>
      <c r="F1519" s="52" t="s">
        <v>2505</v>
      </c>
    </row>
    <row r="1520" spans="1:6" ht="12" x14ac:dyDescent="0.2">
      <c r="A1520" s="65">
        <v>37212</v>
      </c>
      <c r="B1520" s="54" t="s">
        <v>465</v>
      </c>
      <c r="C1520" s="52" t="s">
        <v>3266</v>
      </c>
      <c r="D1520" s="53" t="s">
        <v>3267</v>
      </c>
      <c r="E1520" s="52" t="s">
        <v>190</v>
      </c>
      <c r="F1520" s="52" t="s">
        <v>152</v>
      </c>
    </row>
    <row r="1521" spans="1:6" ht="12" x14ac:dyDescent="0.2">
      <c r="A1521" s="65">
        <v>37216</v>
      </c>
      <c r="B1521" s="54" t="s">
        <v>5187</v>
      </c>
      <c r="C1521" s="52" t="s">
        <v>4730</v>
      </c>
      <c r="D1521" s="53" t="s">
        <v>4731</v>
      </c>
      <c r="E1521" s="52" t="s">
        <v>2840</v>
      </c>
      <c r="F1521" s="52" t="s">
        <v>2840</v>
      </c>
    </row>
    <row r="1522" spans="1:6" ht="12" x14ac:dyDescent="0.2">
      <c r="A1522" s="65">
        <v>37217</v>
      </c>
      <c r="B1522" s="54" t="s">
        <v>466</v>
      </c>
      <c r="C1522" s="52" t="s">
        <v>2554</v>
      </c>
      <c r="D1522" s="53" t="s">
        <v>2555</v>
      </c>
      <c r="E1522" s="52" t="s">
        <v>107</v>
      </c>
      <c r="F1522" s="52" t="s">
        <v>82</v>
      </c>
    </row>
    <row r="1523" spans="1:6" ht="12" x14ac:dyDescent="0.2">
      <c r="A1523" s="65">
        <v>37218</v>
      </c>
      <c r="B1523" s="54" t="s">
        <v>5188</v>
      </c>
      <c r="C1523" s="52" t="s">
        <v>4871</v>
      </c>
      <c r="D1523" s="53" t="s">
        <v>4872</v>
      </c>
      <c r="E1523" s="52" t="s">
        <v>423</v>
      </c>
      <c r="F1523" s="52" t="s">
        <v>65</v>
      </c>
    </row>
    <row r="1524" spans="1:6" ht="12" x14ac:dyDescent="0.2">
      <c r="A1524" s="65">
        <v>37219</v>
      </c>
      <c r="B1524" s="54" t="s">
        <v>5189</v>
      </c>
      <c r="C1524" s="52" t="s">
        <v>3318</v>
      </c>
      <c r="D1524" s="53" t="s">
        <v>3319</v>
      </c>
      <c r="E1524" s="52" t="s">
        <v>195</v>
      </c>
      <c r="F1524" s="52" t="s">
        <v>158</v>
      </c>
    </row>
    <row r="1525" spans="1:6" ht="12" x14ac:dyDescent="0.2">
      <c r="A1525" s="65">
        <v>37220</v>
      </c>
      <c r="B1525" s="54" t="s">
        <v>467</v>
      </c>
      <c r="C1525" s="52" t="s">
        <v>4744</v>
      </c>
      <c r="D1525" s="53" t="s">
        <v>4745</v>
      </c>
      <c r="E1525" s="52" t="s">
        <v>402</v>
      </c>
      <c r="F1525" s="52" t="s">
        <v>116</v>
      </c>
    </row>
    <row r="1526" spans="1:6" ht="12" x14ac:dyDescent="0.2">
      <c r="A1526" s="65">
        <v>37221</v>
      </c>
      <c r="B1526" s="54" t="s">
        <v>5190</v>
      </c>
      <c r="C1526" s="52" t="s">
        <v>4602</v>
      </c>
      <c r="D1526" s="53" t="s">
        <v>4603</v>
      </c>
      <c r="E1526" s="52" t="s">
        <v>4604</v>
      </c>
      <c r="F1526" s="52" t="s">
        <v>82</v>
      </c>
    </row>
    <row r="1527" spans="1:6" ht="12" x14ac:dyDescent="0.2">
      <c r="A1527" s="65">
        <v>37222</v>
      </c>
      <c r="B1527" s="54" t="s">
        <v>468</v>
      </c>
      <c r="C1527" s="52" t="s">
        <v>4777</v>
      </c>
      <c r="D1527" s="53" t="s">
        <v>5191</v>
      </c>
      <c r="E1527" s="52" t="s">
        <v>408</v>
      </c>
      <c r="F1527" s="52" t="s">
        <v>84</v>
      </c>
    </row>
    <row r="1528" spans="1:6" ht="12" x14ac:dyDescent="0.2">
      <c r="A1528" s="65">
        <v>37236</v>
      </c>
      <c r="B1528" s="54" t="s">
        <v>5192</v>
      </c>
      <c r="C1528" s="52" t="s">
        <v>4724</v>
      </c>
      <c r="D1528" s="53" t="s">
        <v>4725</v>
      </c>
      <c r="E1528" s="52" t="s">
        <v>740</v>
      </c>
      <c r="F1528" s="52" t="s">
        <v>65</v>
      </c>
    </row>
    <row r="1529" spans="1:6" ht="12" x14ac:dyDescent="0.2">
      <c r="A1529" s="65">
        <v>37237</v>
      </c>
      <c r="B1529" s="54" t="s">
        <v>1882</v>
      </c>
      <c r="C1529" s="52" t="s">
        <v>5193</v>
      </c>
      <c r="D1529" s="53" t="s">
        <v>3677</v>
      </c>
      <c r="E1529" s="52" t="s">
        <v>1881</v>
      </c>
      <c r="F1529" s="52" t="s">
        <v>97</v>
      </c>
    </row>
    <row r="1530" spans="1:6" ht="12" x14ac:dyDescent="0.2">
      <c r="A1530" s="65">
        <v>40799</v>
      </c>
      <c r="B1530" s="54" t="s">
        <v>943</v>
      </c>
      <c r="C1530" s="52" t="s">
        <v>5194</v>
      </c>
      <c r="D1530" s="53" t="s">
        <v>2472</v>
      </c>
      <c r="E1530" s="52" t="s">
        <v>152</v>
      </c>
      <c r="F1530" s="52" t="s">
        <v>152</v>
      </c>
    </row>
    <row r="1531" spans="1:6" ht="12" x14ac:dyDescent="0.2">
      <c r="A1531" s="65">
        <v>41996</v>
      </c>
      <c r="B1531" s="54" t="s">
        <v>839</v>
      </c>
      <c r="C1531" s="52" t="s">
        <v>5195</v>
      </c>
      <c r="D1531" s="53" t="s">
        <v>4961</v>
      </c>
      <c r="E1531" s="52" t="s">
        <v>839</v>
      </c>
      <c r="F1531" s="52" t="s">
        <v>145</v>
      </c>
    </row>
    <row r="1532" spans="1:6" ht="12" x14ac:dyDescent="0.2">
      <c r="A1532" s="65">
        <v>44048</v>
      </c>
      <c r="B1532" s="54" t="s">
        <v>944</v>
      </c>
      <c r="C1532" s="52" t="s">
        <v>5196</v>
      </c>
      <c r="D1532" s="53" t="s">
        <v>4585</v>
      </c>
      <c r="E1532" s="52" t="s">
        <v>4586</v>
      </c>
      <c r="F1532" s="52" t="s">
        <v>84</v>
      </c>
    </row>
    <row r="1533" spans="1:6" ht="12" x14ac:dyDescent="0.2">
      <c r="A1533" s="65">
        <v>61003</v>
      </c>
      <c r="B1533" s="54" t="s">
        <v>5197</v>
      </c>
      <c r="C1533" s="52" t="s">
        <v>5198</v>
      </c>
      <c r="D1533" s="53" t="s">
        <v>5199</v>
      </c>
      <c r="E1533" s="52" t="s">
        <v>5200</v>
      </c>
      <c r="F1533" s="52" t="s">
        <v>5201</v>
      </c>
    </row>
    <row r="1534" spans="1:6" ht="12" x14ac:dyDescent="0.2">
      <c r="A1534" s="65">
        <v>61007</v>
      </c>
      <c r="B1534" s="54" t="s">
        <v>5202</v>
      </c>
      <c r="C1534" s="52" t="s">
        <v>5203</v>
      </c>
      <c r="D1534" s="53" t="s">
        <v>5204</v>
      </c>
      <c r="E1534" s="52" t="s">
        <v>5205</v>
      </c>
      <c r="F1534" s="52" t="s">
        <v>1564</v>
      </c>
    </row>
    <row r="1535" spans="1:6" ht="12" x14ac:dyDescent="0.2">
      <c r="A1535" s="65">
        <v>61012</v>
      </c>
      <c r="B1535" s="54" t="s">
        <v>5206</v>
      </c>
      <c r="C1535" s="52" t="s">
        <v>5207</v>
      </c>
      <c r="D1535" s="53" t="s">
        <v>5208</v>
      </c>
      <c r="E1535" s="52" t="s">
        <v>5209</v>
      </c>
      <c r="F1535" s="52" t="s">
        <v>5210</v>
      </c>
    </row>
    <row r="1536" spans="1:6" ht="12" x14ac:dyDescent="0.2">
      <c r="A1536" s="65">
        <v>61013</v>
      </c>
      <c r="B1536" s="54" t="s">
        <v>5211</v>
      </c>
      <c r="C1536" s="52" t="s">
        <v>5212</v>
      </c>
      <c r="D1536" s="53" t="s">
        <v>5213</v>
      </c>
      <c r="E1536" s="52" t="s">
        <v>5214</v>
      </c>
      <c r="F1536" s="52" t="s">
        <v>5210</v>
      </c>
    </row>
    <row r="1537" spans="1:6" ht="12" x14ac:dyDescent="0.2">
      <c r="A1537" s="65">
        <v>61014</v>
      </c>
      <c r="B1537" s="54" t="s">
        <v>5215</v>
      </c>
      <c r="C1537" s="52" t="s">
        <v>5216</v>
      </c>
      <c r="D1537" s="53" t="s">
        <v>5217</v>
      </c>
      <c r="E1537" s="52" t="s">
        <v>5215</v>
      </c>
      <c r="F1537" s="52" t="s">
        <v>5218</v>
      </c>
    </row>
    <row r="1538" spans="1:6" ht="12" x14ac:dyDescent="0.2">
      <c r="A1538" s="65">
        <v>61015</v>
      </c>
      <c r="B1538" s="54" t="s">
        <v>5219</v>
      </c>
      <c r="C1538" s="52" t="s">
        <v>5220</v>
      </c>
      <c r="D1538" s="53" t="s">
        <v>5221</v>
      </c>
      <c r="E1538" s="52" t="s">
        <v>5222</v>
      </c>
      <c r="F1538" s="52" t="s">
        <v>5222</v>
      </c>
    </row>
    <row r="1539" spans="1:6" ht="12" x14ac:dyDescent="0.2">
      <c r="A1539" s="65">
        <v>61017</v>
      </c>
      <c r="B1539" s="54" t="s">
        <v>5223</v>
      </c>
      <c r="C1539" s="52" t="s">
        <v>5224</v>
      </c>
      <c r="D1539" s="53" t="s">
        <v>5225</v>
      </c>
      <c r="E1539" s="52" t="s">
        <v>5226</v>
      </c>
      <c r="F1539" s="52" t="s">
        <v>5226</v>
      </c>
    </row>
    <row r="1540" spans="1:6" ht="12" x14ac:dyDescent="0.2">
      <c r="A1540" s="65">
        <v>61020</v>
      </c>
      <c r="B1540" s="54" t="s">
        <v>5227</v>
      </c>
      <c r="C1540" s="52" t="s">
        <v>5228</v>
      </c>
      <c r="D1540" s="53" t="s">
        <v>5229</v>
      </c>
      <c r="E1540" s="52" t="s">
        <v>5227</v>
      </c>
      <c r="F1540" s="52" t="s">
        <v>1873</v>
      </c>
    </row>
    <row r="1541" spans="1:6" ht="12" x14ac:dyDescent="0.2">
      <c r="A1541" s="65">
        <v>61022</v>
      </c>
      <c r="B1541" s="54" t="s">
        <v>5230</v>
      </c>
      <c r="C1541" s="52" t="s">
        <v>5231</v>
      </c>
      <c r="D1541" s="53" t="s">
        <v>5232</v>
      </c>
      <c r="E1541" s="52" t="s">
        <v>5230</v>
      </c>
      <c r="F1541" s="52" t="s">
        <v>5233</v>
      </c>
    </row>
    <row r="1542" spans="1:6" ht="12" x14ac:dyDescent="0.2">
      <c r="A1542" s="65">
        <v>61026</v>
      </c>
      <c r="B1542" s="54" t="s">
        <v>5234</v>
      </c>
      <c r="C1542" s="52" t="s">
        <v>5235</v>
      </c>
      <c r="D1542" s="53" t="s">
        <v>5236</v>
      </c>
      <c r="E1542" s="52" t="s">
        <v>5237</v>
      </c>
      <c r="F1542" s="52" t="s">
        <v>1564</v>
      </c>
    </row>
    <row r="1543" spans="1:6" ht="12" x14ac:dyDescent="0.2">
      <c r="A1543" s="65">
        <v>61027</v>
      </c>
      <c r="B1543" s="54" t="s">
        <v>5238</v>
      </c>
      <c r="C1543" s="52" t="s">
        <v>5239</v>
      </c>
      <c r="D1543" s="53" t="s">
        <v>5240</v>
      </c>
      <c r="E1543" s="52" t="s">
        <v>5241</v>
      </c>
      <c r="F1543" s="52" t="s">
        <v>5233</v>
      </c>
    </row>
    <row r="1544" spans="1:6" ht="12" x14ac:dyDescent="0.2">
      <c r="A1544" s="65">
        <v>61029</v>
      </c>
      <c r="B1544" s="54" t="s">
        <v>5242</v>
      </c>
      <c r="C1544" s="52" t="s">
        <v>5243</v>
      </c>
      <c r="D1544" s="53" t="s">
        <v>5244</v>
      </c>
      <c r="E1544" s="52" t="s">
        <v>5242</v>
      </c>
      <c r="F1544" s="52" t="s">
        <v>5210</v>
      </c>
    </row>
    <row r="1545" spans="1:6" ht="12" x14ac:dyDescent="0.2">
      <c r="A1545" s="65">
        <v>61030</v>
      </c>
      <c r="B1545" s="54" t="s">
        <v>5245</v>
      </c>
      <c r="C1545" s="52" t="s">
        <v>5246</v>
      </c>
      <c r="D1545" s="53" t="s">
        <v>5247</v>
      </c>
      <c r="E1545" s="52" t="s">
        <v>5248</v>
      </c>
      <c r="F1545" s="52" t="s">
        <v>1564</v>
      </c>
    </row>
    <row r="1546" spans="1:6" ht="12" x14ac:dyDescent="0.2">
      <c r="A1546" s="65">
        <v>61032</v>
      </c>
      <c r="B1546" s="54" t="s">
        <v>5249</v>
      </c>
      <c r="C1546" s="52" t="s">
        <v>5250</v>
      </c>
      <c r="D1546" s="53" t="s">
        <v>5251</v>
      </c>
      <c r="E1546" s="52" t="s">
        <v>5252</v>
      </c>
      <c r="F1546" s="52" t="s">
        <v>5210</v>
      </c>
    </row>
    <row r="1547" spans="1:6" ht="12" x14ac:dyDescent="0.2">
      <c r="A1547" s="65">
        <v>61036</v>
      </c>
      <c r="B1547" s="54" t="s">
        <v>5253</v>
      </c>
      <c r="C1547" s="52" t="s">
        <v>5254</v>
      </c>
      <c r="D1547" s="53" t="s">
        <v>5255</v>
      </c>
      <c r="E1547" s="52" t="s">
        <v>5256</v>
      </c>
      <c r="F1547" s="52" t="s">
        <v>5201</v>
      </c>
    </row>
    <row r="1548" spans="1:6" ht="12" x14ac:dyDescent="0.2">
      <c r="A1548" s="65">
        <v>61037</v>
      </c>
      <c r="B1548" s="54" t="s">
        <v>5257</v>
      </c>
      <c r="C1548" s="52" t="s">
        <v>5258</v>
      </c>
      <c r="D1548" s="53" t="s">
        <v>5259</v>
      </c>
      <c r="E1548" s="52" t="s">
        <v>5237</v>
      </c>
      <c r="F1548" s="52" t="s">
        <v>1564</v>
      </c>
    </row>
    <row r="1549" spans="1:6" ht="12" x14ac:dyDescent="0.2">
      <c r="A1549" s="65">
        <v>61039</v>
      </c>
      <c r="B1549" s="54" t="s">
        <v>5260</v>
      </c>
      <c r="C1549" s="52" t="s">
        <v>5261</v>
      </c>
      <c r="D1549" s="53" t="s">
        <v>5262</v>
      </c>
      <c r="E1549" s="52" t="s">
        <v>5263</v>
      </c>
      <c r="F1549" s="52" t="s">
        <v>5218</v>
      </c>
    </row>
    <row r="1550" spans="1:6" ht="12" x14ac:dyDescent="0.2">
      <c r="A1550" s="65">
        <v>61040</v>
      </c>
      <c r="B1550" s="54" t="s">
        <v>5264</v>
      </c>
      <c r="C1550" s="52" t="s">
        <v>5265</v>
      </c>
      <c r="D1550" s="53" t="s">
        <v>5266</v>
      </c>
      <c r="E1550" s="52" t="s">
        <v>5267</v>
      </c>
      <c r="F1550" s="52" t="s">
        <v>5218</v>
      </c>
    </row>
    <row r="1551" spans="1:6" ht="12" x14ac:dyDescent="0.2">
      <c r="A1551" s="65">
        <v>61041</v>
      </c>
      <c r="B1551" s="54" t="s">
        <v>5268</v>
      </c>
      <c r="C1551" s="52" t="s">
        <v>5269</v>
      </c>
      <c r="D1551" s="53" t="s">
        <v>5270</v>
      </c>
      <c r="E1551" s="52" t="s">
        <v>5271</v>
      </c>
      <c r="F1551" s="52" t="s">
        <v>5210</v>
      </c>
    </row>
    <row r="1552" spans="1:6" ht="12" x14ac:dyDescent="0.2">
      <c r="A1552" s="65">
        <v>61044</v>
      </c>
      <c r="B1552" s="54" t="s">
        <v>5272</v>
      </c>
      <c r="C1552" s="52" t="s">
        <v>5273</v>
      </c>
      <c r="D1552" s="53" t="s">
        <v>5274</v>
      </c>
      <c r="E1552" s="52" t="s">
        <v>5200</v>
      </c>
      <c r="F1552" s="52" t="s">
        <v>5201</v>
      </c>
    </row>
    <row r="1553" spans="1:6" ht="12" x14ac:dyDescent="0.2">
      <c r="A1553" s="65">
        <v>61050</v>
      </c>
      <c r="B1553" s="54" t="s">
        <v>5275</v>
      </c>
      <c r="C1553" s="52" t="s">
        <v>5276</v>
      </c>
      <c r="D1553" s="53" t="s">
        <v>5277</v>
      </c>
      <c r="E1553" s="52" t="s">
        <v>5278</v>
      </c>
      <c r="F1553" s="52" t="s">
        <v>5279</v>
      </c>
    </row>
    <row r="1554" spans="1:6" ht="12" x14ac:dyDescent="0.2">
      <c r="A1554" s="65">
        <v>61059</v>
      </c>
      <c r="B1554" s="54" t="s">
        <v>5280</v>
      </c>
      <c r="C1554" s="52" t="s">
        <v>5281</v>
      </c>
      <c r="D1554" s="53" t="s">
        <v>5282</v>
      </c>
      <c r="E1554" s="52" t="s">
        <v>5280</v>
      </c>
      <c r="F1554" s="52" t="s">
        <v>5283</v>
      </c>
    </row>
    <row r="1555" spans="1:6" ht="12" x14ac:dyDescent="0.2">
      <c r="A1555" s="65">
        <v>61062</v>
      </c>
      <c r="B1555" s="54" t="s">
        <v>5284</v>
      </c>
      <c r="C1555" s="52" t="s">
        <v>5285</v>
      </c>
      <c r="D1555" s="53" t="s">
        <v>5286</v>
      </c>
      <c r="E1555" s="52" t="s">
        <v>5284</v>
      </c>
      <c r="F1555" s="52" t="s">
        <v>1873</v>
      </c>
    </row>
    <row r="1556" spans="1:6" ht="12" x14ac:dyDescent="0.2">
      <c r="A1556" s="65">
        <v>61069</v>
      </c>
      <c r="B1556" s="54" t="s">
        <v>5287</v>
      </c>
      <c r="C1556" s="52" t="s">
        <v>5288</v>
      </c>
      <c r="D1556" s="53" t="s">
        <v>5289</v>
      </c>
      <c r="E1556" s="52" t="s">
        <v>5287</v>
      </c>
      <c r="F1556" s="52" t="s">
        <v>5279</v>
      </c>
    </row>
    <row r="1557" spans="1:6" ht="12" x14ac:dyDescent="0.2">
      <c r="A1557" s="65">
        <v>61093</v>
      </c>
      <c r="B1557" s="54" t="s">
        <v>5290</v>
      </c>
      <c r="C1557" s="54" t="s">
        <v>5291</v>
      </c>
      <c r="D1557" s="53" t="s">
        <v>5292</v>
      </c>
      <c r="E1557" s="54" t="s">
        <v>5293</v>
      </c>
      <c r="F1557" s="54" t="s">
        <v>5201</v>
      </c>
    </row>
    <row r="1558" spans="1:6" ht="12" x14ac:dyDescent="0.2">
      <c r="A1558" s="65">
        <v>61094</v>
      </c>
      <c r="B1558" s="54" t="s">
        <v>5294</v>
      </c>
      <c r="C1558" s="54" t="s">
        <v>5295</v>
      </c>
      <c r="D1558" s="53" t="s">
        <v>5296</v>
      </c>
      <c r="E1558" s="54" t="s">
        <v>5297</v>
      </c>
      <c r="F1558" s="54" t="s">
        <v>5218</v>
      </c>
    </row>
    <row r="1559" spans="1:6" ht="12" x14ac:dyDescent="0.2">
      <c r="A1559" s="65">
        <v>61097</v>
      </c>
      <c r="B1559" s="54" t="s">
        <v>5298</v>
      </c>
      <c r="C1559" s="54" t="s">
        <v>5299</v>
      </c>
      <c r="D1559" s="53" t="s">
        <v>5300</v>
      </c>
      <c r="E1559" s="54" t="s">
        <v>5301</v>
      </c>
      <c r="F1559" s="54" t="s">
        <v>5210</v>
      </c>
    </row>
    <row r="1560" spans="1:6" ht="12" x14ac:dyDescent="0.2">
      <c r="A1560" s="65">
        <v>61100</v>
      </c>
      <c r="B1560" s="54" t="s">
        <v>5302</v>
      </c>
      <c r="C1560" s="54" t="s">
        <v>5303</v>
      </c>
      <c r="D1560" s="53" t="s">
        <v>5304</v>
      </c>
      <c r="E1560" s="54" t="s">
        <v>5302</v>
      </c>
      <c r="F1560" s="54" t="s">
        <v>1564</v>
      </c>
    </row>
    <row r="1561" spans="1:6" ht="12" x14ac:dyDescent="0.2">
      <c r="A1561" s="65">
        <v>61102</v>
      </c>
      <c r="B1561" s="54" t="s">
        <v>5305</v>
      </c>
      <c r="C1561" s="54" t="s">
        <v>5306</v>
      </c>
      <c r="D1561" s="53" t="s">
        <v>5307</v>
      </c>
      <c r="E1561" s="54" t="s">
        <v>5305</v>
      </c>
      <c r="F1561" s="54" t="s">
        <v>5283</v>
      </c>
    </row>
    <row r="1562" spans="1:6" ht="12" x14ac:dyDescent="0.2">
      <c r="A1562" s="65">
        <v>61110</v>
      </c>
      <c r="B1562" s="54" t="s">
        <v>5308</v>
      </c>
      <c r="C1562" s="54" t="s">
        <v>5309</v>
      </c>
      <c r="D1562" s="53" t="s">
        <v>5310</v>
      </c>
      <c r="E1562" s="54" t="s">
        <v>1873</v>
      </c>
      <c r="F1562" s="54" t="s">
        <v>1873</v>
      </c>
    </row>
    <row r="1563" spans="1:6" ht="12" x14ac:dyDescent="0.2">
      <c r="A1563" s="65">
        <v>61111</v>
      </c>
      <c r="B1563" s="54" t="s">
        <v>5311</v>
      </c>
      <c r="C1563" s="54" t="s">
        <v>5312</v>
      </c>
      <c r="D1563" s="53" t="s">
        <v>5313</v>
      </c>
      <c r="E1563" s="54" t="s">
        <v>5314</v>
      </c>
      <c r="F1563" s="54" t="s">
        <v>5279</v>
      </c>
    </row>
    <row r="1564" spans="1:6" ht="12" x14ac:dyDescent="0.2">
      <c r="A1564" s="65">
        <v>61112</v>
      </c>
      <c r="B1564" s="54" t="s">
        <v>5315</v>
      </c>
      <c r="C1564" s="54" t="s">
        <v>5316</v>
      </c>
      <c r="D1564" s="53" t="s">
        <v>5317</v>
      </c>
      <c r="E1564" s="54" t="s">
        <v>5200</v>
      </c>
      <c r="F1564" s="54" t="s">
        <v>5201</v>
      </c>
    </row>
    <row r="1565" spans="1:6" ht="12" x14ac:dyDescent="0.2">
      <c r="A1565" s="65">
        <v>61113</v>
      </c>
      <c r="B1565" s="54" t="s">
        <v>5318</v>
      </c>
      <c r="C1565" s="54" t="s">
        <v>5319</v>
      </c>
      <c r="D1565" s="53" t="s">
        <v>5320</v>
      </c>
      <c r="E1565" s="54" t="s">
        <v>5318</v>
      </c>
      <c r="F1565" s="54" t="s">
        <v>5210</v>
      </c>
    </row>
    <row r="1566" spans="1:6" ht="12" x14ac:dyDescent="0.2">
      <c r="A1566" s="65">
        <v>61114</v>
      </c>
      <c r="B1566" s="52" t="s">
        <v>5321</v>
      </c>
      <c r="C1566" s="52" t="s">
        <v>5322</v>
      </c>
      <c r="D1566" s="53" t="s">
        <v>5323</v>
      </c>
      <c r="E1566" s="52" t="s">
        <v>5324</v>
      </c>
      <c r="F1566" s="52" t="s">
        <v>5210</v>
      </c>
    </row>
    <row r="1567" spans="1:6" ht="12" x14ac:dyDescent="0.2">
      <c r="A1567" s="65">
        <v>61116</v>
      </c>
      <c r="B1567" s="52" t="s">
        <v>5325</v>
      </c>
      <c r="C1567" s="52" t="s">
        <v>5326</v>
      </c>
      <c r="D1567" s="53" t="s">
        <v>5327</v>
      </c>
      <c r="E1567" s="52" t="s">
        <v>5301</v>
      </c>
      <c r="F1567" s="52" t="s">
        <v>5210</v>
      </c>
    </row>
    <row r="1568" spans="1:6" ht="12" x14ac:dyDescent="0.2">
      <c r="A1568" s="65">
        <v>61117</v>
      </c>
      <c r="B1568" s="52" t="s">
        <v>5328</v>
      </c>
      <c r="C1568" s="52" t="s">
        <v>5329</v>
      </c>
      <c r="D1568" s="53" t="s">
        <v>5330</v>
      </c>
      <c r="E1568" s="52" t="s">
        <v>5331</v>
      </c>
      <c r="F1568" s="52" t="s">
        <v>5210</v>
      </c>
    </row>
    <row r="1569" spans="1:6" ht="12" x14ac:dyDescent="0.2">
      <c r="A1569" s="65">
        <v>61118</v>
      </c>
      <c r="B1569" s="52" t="s">
        <v>1370</v>
      </c>
      <c r="C1569" s="52" t="s">
        <v>5332</v>
      </c>
      <c r="D1569" s="53" t="s">
        <v>5333</v>
      </c>
      <c r="E1569" s="52" t="s">
        <v>5318</v>
      </c>
      <c r="F1569" s="52" t="s">
        <v>5210</v>
      </c>
    </row>
    <row r="1570" spans="1:6" ht="12" x14ac:dyDescent="0.2">
      <c r="A1570" s="65">
        <v>61125</v>
      </c>
      <c r="B1570" s="52" t="s">
        <v>5334</v>
      </c>
      <c r="C1570" s="52" t="s">
        <v>5335</v>
      </c>
      <c r="D1570" s="53" t="s">
        <v>5336</v>
      </c>
      <c r="E1570" s="52" t="s">
        <v>5334</v>
      </c>
      <c r="F1570" s="52" t="s">
        <v>5334</v>
      </c>
    </row>
    <row r="1571" spans="1:6" ht="12" x14ac:dyDescent="0.2">
      <c r="A1571" s="65">
        <v>61126</v>
      </c>
      <c r="B1571" s="52" t="s">
        <v>5337</v>
      </c>
      <c r="C1571" s="52" t="s">
        <v>5338</v>
      </c>
      <c r="D1571" s="53" t="s">
        <v>5339</v>
      </c>
      <c r="E1571" s="52" t="s">
        <v>5340</v>
      </c>
      <c r="F1571" s="52" t="s">
        <v>1564</v>
      </c>
    </row>
    <row r="1572" spans="1:6" ht="12" x14ac:dyDescent="0.2">
      <c r="A1572" s="65">
        <v>61136</v>
      </c>
      <c r="B1572" s="52" t="s">
        <v>5341</v>
      </c>
      <c r="C1572" s="52" t="s">
        <v>5342</v>
      </c>
      <c r="D1572" s="53" t="s">
        <v>5343</v>
      </c>
      <c r="E1572" s="52" t="s">
        <v>5344</v>
      </c>
      <c r="F1572" s="52" t="s">
        <v>5210</v>
      </c>
    </row>
    <row r="1573" spans="1:6" ht="12" x14ac:dyDescent="0.2">
      <c r="A1573" s="65">
        <v>61137</v>
      </c>
      <c r="B1573" s="52" t="s">
        <v>5345</v>
      </c>
      <c r="C1573" s="52" t="s">
        <v>5346</v>
      </c>
      <c r="D1573" s="53" t="s">
        <v>5347</v>
      </c>
      <c r="E1573" s="52" t="s">
        <v>5348</v>
      </c>
      <c r="F1573" s="52" t="s">
        <v>5279</v>
      </c>
    </row>
    <row r="1574" spans="1:6" ht="12" x14ac:dyDescent="0.2">
      <c r="A1574" s="65">
        <v>61144</v>
      </c>
      <c r="B1574" s="52" t="s">
        <v>5349</v>
      </c>
      <c r="C1574" s="52" t="s">
        <v>5350</v>
      </c>
      <c r="D1574" s="53" t="s">
        <v>5351</v>
      </c>
      <c r="E1574" s="52" t="s">
        <v>5352</v>
      </c>
      <c r="F1574" s="52" t="s">
        <v>5353</v>
      </c>
    </row>
    <row r="1575" spans="1:6" ht="12" x14ac:dyDescent="0.2">
      <c r="A1575" s="65">
        <v>61145</v>
      </c>
      <c r="B1575" s="52" t="s">
        <v>5344</v>
      </c>
      <c r="C1575" s="52" t="s">
        <v>5354</v>
      </c>
      <c r="D1575" s="53" t="s">
        <v>5355</v>
      </c>
      <c r="E1575" s="52" t="s">
        <v>5344</v>
      </c>
      <c r="F1575" s="52" t="s">
        <v>5210</v>
      </c>
    </row>
    <row r="1576" spans="1:6" ht="12" x14ac:dyDescent="0.2">
      <c r="A1576" s="65">
        <v>61146</v>
      </c>
      <c r="B1576" s="52" t="s">
        <v>5356</v>
      </c>
      <c r="C1576" s="52" t="s">
        <v>5357</v>
      </c>
      <c r="D1576" s="53" t="s">
        <v>5358</v>
      </c>
      <c r="E1576" s="52" t="s">
        <v>5359</v>
      </c>
      <c r="F1576" s="52" t="s">
        <v>5218</v>
      </c>
    </row>
    <row r="1577" spans="1:6" ht="12" x14ac:dyDescent="0.2">
      <c r="A1577" s="65">
        <v>61147</v>
      </c>
      <c r="B1577" s="52" t="s">
        <v>5360</v>
      </c>
      <c r="C1577" s="52" t="s">
        <v>5361</v>
      </c>
      <c r="D1577" s="53" t="s">
        <v>5362</v>
      </c>
      <c r="E1577" s="52" t="s">
        <v>5363</v>
      </c>
      <c r="F1577" s="52" t="s">
        <v>5283</v>
      </c>
    </row>
    <row r="1578" spans="1:6" ht="12" x14ac:dyDescent="0.2">
      <c r="A1578" s="65">
        <v>61150</v>
      </c>
      <c r="B1578" s="52" t="s">
        <v>5364</v>
      </c>
      <c r="C1578" s="52" t="s">
        <v>5365</v>
      </c>
      <c r="D1578" s="53" t="s">
        <v>5366</v>
      </c>
      <c r="E1578" s="52" t="s">
        <v>5364</v>
      </c>
      <c r="F1578" s="52" t="s">
        <v>5334</v>
      </c>
    </row>
    <row r="1579" spans="1:6" ht="12" x14ac:dyDescent="0.2">
      <c r="A1579" s="65">
        <v>61151</v>
      </c>
      <c r="B1579" s="52" t="s">
        <v>5367</v>
      </c>
      <c r="C1579" s="52" t="s">
        <v>5368</v>
      </c>
      <c r="D1579" s="53" t="s">
        <v>5369</v>
      </c>
      <c r="E1579" s="52" t="s">
        <v>5370</v>
      </c>
      <c r="F1579" s="52" t="s">
        <v>5233</v>
      </c>
    </row>
    <row r="1580" spans="1:6" ht="12" x14ac:dyDescent="0.2">
      <c r="A1580" s="65">
        <v>61155</v>
      </c>
      <c r="B1580" s="52" t="s">
        <v>5371</v>
      </c>
      <c r="C1580" s="52" t="s">
        <v>5372</v>
      </c>
      <c r="D1580" s="53" t="s">
        <v>5373</v>
      </c>
      <c r="E1580" s="52" t="s">
        <v>5374</v>
      </c>
      <c r="F1580" s="52" t="s">
        <v>1564</v>
      </c>
    </row>
    <row r="1581" spans="1:6" ht="12" x14ac:dyDescent="0.2">
      <c r="A1581" s="65">
        <v>61159</v>
      </c>
      <c r="B1581" s="52" t="s">
        <v>5375</v>
      </c>
      <c r="C1581" s="52" t="s">
        <v>5376</v>
      </c>
      <c r="D1581" s="53" t="s">
        <v>5377</v>
      </c>
      <c r="E1581" s="52" t="s">
        <v>5378</v>
      </c>
      <c r="F1581" s="52" t="s">
        <v>5283</v>
      </c>
    </row>
    <row r="1582" spans="1:6" ht="12" x14ac:dyDescent="0.2">
      <c r="A1582" s="65">
        <v>61163</v>
      </c>
      <c r="B1582" s="52" t="s">
        <v>5379</v>
      </c>
      <c r="C1582" s="52" t="s">
        <v>5380</v>
      </c>
      <c r="D1582" s="53" t="s">
        <v>5381</v>
      </c>
      <c r="E1582" s="52" t="s">
        <v>5226</v>
      </c>
      <c r="F1582" s="52" t="s">
        <v>5226</v>
      </c>
    </row>
    <row r="1583" spans="1:6" ht="12" x14ac:dyDescent="0.2">
      <c r="A1583" s="65">
        <v>61169</v>
      </c>
      <c r="B1583" s="52" t="s">
        <v>5382</v>
      </c>
      <c r="C1583" s="52" t="s">
        <v>5383</v>
      </c>
      <c r="D1583" s="53" t="s">
        <v>5384</v>
      </c>
      <c r="E1583" s="52" t="s">
        <v>5385</v>
      </c>
      <c r="F1583" s="52" t="s">
        <v>5385</v>
      </c>
    </row>
    <row r="1584" spans="1:6" ht="12" x14ac:dyDescent="0.2">
      <c r="A1584" s="65">
        <v>61170</v>
      </c>
      <c r="B1584" s="52" t="s">
        <v>5386</v>
      </c>
      <c r="C1584" s="52" t="s">
        <v>5387</v>
      </c>
      <c r="D1584" s="53" t="s">
        <v>5388</v>
      </c>
      <c r="E1584" s="52" t="s">
        <v>5389</v>
      </c>
      <c r="F1584" s="52" t="s">
        <v>5210</v>
      </c>
    </row>
    <row r="1585" spans="1:6" ht="12" x14ac:dyDescent="0.2">
      <c r="A1585" s="65">
        <v>61177</v>
      </c>
      <c r="B1585" s="52" t="s">
        <v>5390</v>
      </c>
      <c r="C1585" s="52" t="s">
        <v>5391</v>
      </c>
      <c r="D1585" s="53" t="s">
        <v>5392</v>
      </c>
      <c r="E1585" s="52" t="s">
        <v>5390</v>
      </c>
      <c r="F1585" s="52" t="s">
        <v>5222</v>
      </c>
    </row>
    <row r="1586" spans="1:6" ht="12" x14ac:dyDescent="0.2">
      <c r="A1586" s="65">
        <v>61179</v>
      </c>
      <c r="B1586" s="54" t="s">
        <v>5393</v>
      </c>
      <c r="C1586" s="54" t="s">
        <v>5394</v>
      </c>
      <c r="D1586" s="53" t="s">
        <v>5395</v>
      </c>
      <c r="E1586" s="54" t="s">
        <v>5214</v>
      </c>
      <c r="F1586" s="54" t="s">
        <v>5210</v>
      </c>
    </row>
    <row r="1587" spans="1:6" ht="12" x14ac:dyDescent="0.2">
      <c r="A1587" s="65">
        <v>61180</v>
      </c>
      <c r="B1587" s="52" t="s">
        <v>5396</v>
      </c>
      <c r="C1587" s="52" t="s">
        <v>5397</v>
      </c>
      <c r="D1587" s="53" t="s">
        <v>5398</v>
      </c>
      <c r="E1587" s="52" t="s">
        <v>5399</v>
      </c>
      <c r="F1587" s="52" t="s">
        <v>1873</v>
      </c>
    </row>
    <row r="1588" spans="1:6" ht="12" x14ac:dyDescent="0.2">
      <c r="A1588" s="65">
        <v>61196</v>
      </c>
      <c r="B1588" s="52" t="s">
        <v>5400</v>
      </c>
      <c r="C1588" s="52" t="s">
        <v>5401</v>
      </c>
      <c r="D1588" s="53" t="s">
        <v>5402</v>
      </c>
      <c r="E1588" s="52" t="s">
        <v>5400</v>
      </c>
      <c r="F1588" s="52" t="s">
        <v>5210</v>
      </c>
    </row>
    <row r="1589" spans="1:6" ht="12" x14ac:dyDescent="0.2">
      <c r="A1589" s="65">
        <v>61205</v>
      </c>
      <c r="B1589" s="52" t="s">
        <v>5403</v>
      </c>
      <c r="C1589" s="52" t="s">
        <v>5404</v>
      </c>
      <c r="D1589" s="53" t="s">
        <v>5405</v>
      </c>
      <c r="E1589" s="52" t="s">
        <v>5399</v>
      </c>
      <c r="F1589" s="52" t="s">
        <v>1873</v>
      </c>
    </row>
    <row r="1590" spans="1:6" ht="12" x14ac:dyDescent="0.2">
      <c r="A1590" s="65">
        <v>61218</v>
      </c>
      <c r="B1590" s="52" t="s">
        <v>5406</v>
      </c>
      <c r="C1590" s="52" t="s">
        <v>5407</v>
      </c>
      <c r="D1590" s="53" t="s">
        <v>5408</v>
      </c>
      <c r="E1590" s="52" t="s">
        <v>5409</v>
      </c>
      <c r="F1590" s="52" t="s">
        <v>5201</v>
      </c>
    </row>
    <row r="1591" spans="1:6" ht="12" x14ac:dyDescent="0.2">
      <c r="A1591" s="65">
        <v>61229</v>
      </c>
      <c r="B1591" s="52" t="s">
        <v>5410</v>
      </c>
      <c r="C1591" s="52" t="s">
        <v>5411</v>
      </c>
      <c r="D1591" s="53" t="s">
        <v>5412</v>
      </c>
      <c r="E1591" s="52" t="s">
        <v>5399</v>
      </c>
      <c r="F1591" s="52" t="s">
        <v>1873</v>
      </c>
    </row>
    <row r="1592" spans="1:6" ht="12" x14ac:dyDescent="0.2">
      <c r="A1592" s="65">
        <v>61273</v>
      </c>
      <c r="B1592" s="52" t="s">
        <v>5413</v>
      </c>
      <c r="C1592" s="52" t="s">
        <v>5414</v>
      </c>
      <c r="D1592" s="53" t="s">
        <v>5415</v>
      </c>
      <c r="E1592" s="52" t="s">
        <v>5416</v>
      </c>
      <c r="F1592" s="52" t="s">
        <v>5417</v>
      </c>
    </row>
    <row r="1593" spans="1:6" ht="12" x14ac:dyDescent="0.2">
      <c r="A1593" s="65">
        <v>61274</v>
      </c>
      <c r="B1593" s="52" t="s">
        <v>5418</v>
      </c>
      <c r="C1593" s="52" t="s">
        <v>5419</v>
      </c>
      <c r="D1593" s="53" t="s">
        <v>5420</v>
      </c>
      <c r="E1593" s="52" t="s">
        <v>5421</v>
      </c>
      <c r="F1593" s="52" t="s">
        <v>5233</v>
      </c>
    </row>
    <row r="1594" spans="1:6" ht="12" x14ac:dyDescent="0.2">
      <c r="A1594" s="65">
        <v>61276</v>
      </c>
      <c r="B1594" s="52" t="s">
        <v>5422</v>
      </c>
      <c r="C1594" s="52" t="s">
        <v>5423</v>
      </c>
      <c r="D1594" s="53" t="s">
        <v>5424</v>
      </c>
      <c r="E1594" s="52" t="s">
        <v>5425</v>
      </c>
      <c r="F1594" s="52" t="s">
        <v>1564</v>
      </c>
    </row>
    <row r="1595" spans="1:6" ht="12" x14ac:dyDescent="0.2">
      <c r="A1595" s="65">
        <v>61277</v>
      </c>
      <c r="B1595" s="52" t="s">
        <v>5426</v>
      </c>
      <c r="C1595" s="52" t="s">
        <v>5427</v>
      </c>
      <c r="D1595" s="53" t="s">
        <v>5428</v>
      </c>
      <c r="E1595" s="52" t="s">
        <v>5429</v>
      </c>
      <c r="F1595" s="52" t="s">
        <v>5222</v>
      </c>
    </row>
    <row r="1596" spans="1:6" ht="12" x14ac:dyDescent="0.2">
      <c r="A1596" s="65">
        <v>61281</v>
      </c>
      <c r="B1596" s="52" t="s">
        <v>5430</v>
      </c>
      <c r="C1596" s="52" t="s">
        <v>5431</v>
      </c>
      <c r="D1596" s="53" t="s">
        <v>5432</v>
      </c>
      <c r="E1596" s="52" t="s">
        <v>5430</v>
      </c>
      <c r="F1596" s="52" t="s">
        <v>5430</v>
      </c>
    </row>
    <row r="1597" spans="1:6" ht="12" x14ac:dyDescent="0.2">
      <c r="A1597" s="65">
        <v>61284</v>
      </c>
      <c r="B1597" s="52" t="s">
        <v>5433</v>
      </c>
      <c r="C1597" s="52" t="s">
        <v>5434</v>
      </c>
      <c r="D1597" s="53" t="s">
        <v>5435</v>
      </c>
      <c r="E1597" s="52" t="s">
        <v>5433</v>
      </c>
      <c r="F1597" s="52" t="s">
        <v>5430</v>
      </c>
    </row>
    <row r="1598" spans="1:6" ht="12" x14ac:dyDescent="0.2">
      <c r="A1598" s="65">
        <v>61292</v>
      </c>
      <c r="B1598" s="52" t="s">
        <v>5436</v>
      </c>
      <c r="C1598" s="52" t="s">
        <v>5437</v>
      </c>
      <c r="D1598" s="53" t="s">
        <v>5438</v>
      </c>
      <c r="E1598" s="52" t="s">
        <v>5205</v>
      </c>
      <c r="F1598" s="52" t="s">
        <v>1564</v>
      </c>
    </row>
    <row r="1599" spans="1:6" ht="12" x14ac:dyDescent="0.2">
      <c r="A1599" s="65">
        <v>61301</v>
      </c>
      <c r="B1599" s="52" t="s">
        <v>5439</v>
      </c>
      <c r="C1599" s="52" t="s">
        <v>5440</v>
      </c>
      <c r="D1599" s="53" t="s">
        <v>5441</v>
      </c>
      <c r="E1599" s="52" t="s">
        <v>5439</v>
      </c>
      <c r="F1599" s="52" t="s">
        <v>5279</v>
      </c>
    </row>
    <row r="1600" spans="1:6" ht="12" x14ac:dyDescent="0.2">
      <c r="A1600" s="65">
        <v>61303</v>
      </c>
      <c r="B1600" s="52" t="s">
        <v>5442</v>
      </c>
      <c r="C1600" s="52" t="s">
        <v>5443</v>
      </c>
      <c r="D1600" s="53" t="s">
        <v>5444</v>
      </c>
      <c r="E1600" s="52" t="s">
        <v>5445</v>
      </c>
      <c r="F1600" s="52" t="s">
        <v>5353</v>
      </c>
    </row>
    <row r="1601" spans="1:6" ht="12" x14ac:dyDescent="0.2">
      <c r="A1601" s="65">
        <v>61307</v>
      </c>
      <c r="B1601" s="52" t="s">
        <v>5446</v>
      </c>
      <c r="C1601" s="52" t="s">
        <v>5447</v>
      </c>
      <c r="D1601" s="53" t="s">
        <v>5448</v>
      </c>
      <c r="E1601" s="52" t="s">
        <v>5252</v>
      </c>
      <c r="F1601" s="52" t="s">
        <v>5210</v>
      </c>
    </row>
    <row r="1602" spans="1:6" ht="12" x14ac:dyDescent="0.2">
      <c r="A1602" s="65">
        <v>61310</v>
      </c>
      <c r="B1602" s="52" t="s">
        <v>5449</v>
      </c>
      <c r="C1602" s="52" t="s">
        <v>5450</v>
      </c>
      <c r="D1602" s="53" t="s">
        <v>5451</v>
      </c>
      <c r="E1602" s="52" t="s">
        <v>5449</v>
      </c>
      <c r="F1602" s="52" t="s">
        <v>5233</v>
      </c>
    </row>
    <row r="1603" spans="1:6" ht="12" x14ac:dyDescent="0.2">
      <c r="A1603" s="65">
        <v>61311</v>
      </c>
      <c r="B1603" s="52" t="s">
        <v>5452</v>
      </c>
      <c r="C1603" s="52" t="s">
        <v>5453</v>
      </c>
      <c r="D1603" s="53" t="s">
        <v>5454</v>
      </c>
      <c r="E1603" s="52" t="s">
        <v>5455</v>
      </c>
      <c r="F1603" s="52" t="s">
        <v>5210</v>
      </c>
    </row>
    <row r="1604" spans="1:6" ht="12" x14ac:dyDescent="0.2">
      <c r="A1604" s="65">
        <v>61314</v>
      </c>
      <c r="B1604" s="52" t="s">
        <v>5456</v>
      </c>
      <c r="C1604" s="52" t="s">
        <v>5457</v>
      </c>
      <c r="D1604" s="53" t="s">
        <v>5458</v>
      </c>
      <c r="E1604" s="52" t="s">
        <v>5459</v>
      </c>
      <c r="F1604" s="52" t="s">
        <v>5460</v>
      </c>
    </row>
    <row r="1605" spans="1:6" ht="12" x14ac:dyDescent="0.2">
      <c r="A1605" s="65">
        <v>61315</v>
      </c>
      <c r="B1605" s="52" t="s">
        <v>5461</v>
      </c>
      <c r="C1605" s="52" t="s">
        <v>5462</v>
      </c>
      <c r="D1605" s="53" t="s">
        <v>5463</v>
      </c>
      <c r="E1605" s="52" t="s">
        <v>5464</v>
      </c>
      <c r="F1605" s="52" t="s">
        <v>5353</v>
      </c>
    </row>
    <row r="1606" spans="1:6" ht="12" x14ac:dyDescent="0.2">
      <c r="A1606" s="65">
        <v>61316</v>
      </c>
      <c r="B1606" s="52" t="s">
        <v>5465</v>
      </c>
      <c r="C1606" s="52" t="s">
        <v>5466</v>
      </c>
      <c r="D1606" s="53" t="s">
        <v>5467</v>
      </c>
      <c r="E1606" s="52" t="s">
        <v>5344</v>
      </c>
      <c r="F1606" s="52" t="s">
        <v>5210</v>
      </c>
    </row>
    <row r="1607" spans="1:6" ht="12" x14ac:dyDescent="0.2">
      <c r="A1607" s="65">
        <v>61320</v>
      </c>
      <c r="B1607" s="52" t="s">
        <v>5468</v>
      </c>
      <c r="C1607" s="52" t="s">
        <v>5469</v>
      </c>
      <c r="D1607" s="53" t="s">
        <v>5470</v>
      </c>
      <c r="E1607" s="52" t="s">
        <v>5200</v>
      </c>
      <c r="F1607" s="52" t="s">
        <v>5201</v>
      </c>
    </row>
    <row r="1608" spans="1:6" ht="12" x14ac:dyDescent="0.2">
      <c r="A1608" s="65">
        <v>61321</v>
      </c>
      <c r="B1608" s="52" t="s">
        <v>5471</v>
      </c>
      <c r="C1608" s="52" t="s">
        <v>5472</v>
      </c>
      <c r="D1608" s="53" t="s">
        <v>5473</v>
      </c>
      <c r="E1608" s="52" t="s">
        <v>5474</v>
      </c>
      <c r="F1608" s="52" t="s">
        <v>5201</v>
      </c>
    </row>
    <row r="1609" spans="1:6" ht="12" x14ac:dyDescent="0.2">
      <c r="A1609" s="65">
        <v>61323</v>
      </c>
      <c r="B1609" s="52" t="s">
        <v>5475</v>
      </c>
      <c r="C1609" s="52" t="s">
        <v>5476</v>
      </c>
      <c r="D1609" s="53" t="s">
        <v>5477</v>
      </c>
      <c r="E1609" s="52" t="s">
        <v>5425</v>
      </c>
      <c r="F1609" s="52" t="s">
        <v>1564</v>
      </c>
    </row>
    <row r="1610" spans="1:6" ht="12" x14ac:dyDescent="0.2">
      <c r="A1610" s="65">
        <v>61325</v>
      </c>
      <c r="B1610" s="52" t="s">
        <v>5478</v>
      </c>
      <c r="C1610" s="52" t="s">
        <v>5479</v>
      </c>
      <c r="D1610" s="53" t="s">
        <v>5480</v>
      </c>
      <c r="E1610" s="52" t="s">
        <v>5478</v>
      </c>
      <c r="F1610" s="52" t="s">
        <v>5233</v>
      </c>
    </row>
    <row r="1611" spans="1:6" ht="12" x14ac:dyDescent="0.2">
      <c r="A1611" s="65">
        <v>61330</v>
      </c>
      <c r="B1611" s="52" t="s">
        <v>5481</v>
      </c>
      <c r="C1611" s="52" t="s">
        <v>5482</v>
      </c>
      <c r="D1611" s="53" t="s">
        <v>5483</v>
      </c>
      <c r="E1611" s="52" t="s">
        <v>5278</v>
      </c>
      <c r="F1611" s="52" t="s">
        <v>5279</v>
      </c>
    </row>
    <row r="1612" spans="1:6" ht="12" x14ac:dyDescent="0.2">
      <c r="A1612" s="65">
        <v>61339</v>
      </c>
      <c r="B1612" s="52" t="s">
        <v>5484</v>
      </c>
      <c r="C1612" s="52" t="s">
        <v>5485</v>
      </c>
      <c r="D1612" s="53" t="s">
        <v>5486</v>
      </c>
      <c r="E1612" s="52" t="s">
        <v>5409</v>
      </c>
      <c r="F1612" s="52" t="s">
        <v>5201</v>
      </c>
    </row>
    <row r="1613" spans="1:6" ht="12" x14ac:dyDescent="0.2">
      <c r="A1613" s="65">
        <v>61340</v>
      </c>
      <c r="B1613" s="52" t="s">
        <v>5487</v>
      </c>
      <c r="C1613" s="52" t="s">
        <v>5488</v>
      </c>
      <c r="D1613" s="53" t="s">
        <v>5489</v>
      </c>
      <c r="E1613" s="52" t="s">
        <v>5487</v>
      </c>
      <c r="F1613" s="52" t="s">
        <v>5334</v>
      </c>
    </row>
    <row r="1614" spans="1:6" ht="12" x14ac:dyDescent="0.2">
      <c r="A1614" s="65">
        <v>61342</v>
      </c>
      <c r="B1614" s="52" t="s">
        <v>5490</v>
      </c>
      <c r="C1614" s="52" t="s">
        <v>5491</v>
      </c>
      <c r="D1614" s="53" t="s">
        <v>5492</v>
      </c>
      <c r="E1614" s="52" t="s">
        <v>5493</v>
      </c>
      <c r="F1614" s="52" t="s">
        <v>5222</v>
      </c>
    </row>
    <row r="1615" spans="1:6" ht="12" x14ac:dyDescent="0.2">
      <c r="A1615" s="65">
        <v>61344</v>
      </c>
      <c r="B1615" s="52" t="s">
        <v>5494</v>
      </c>
      <c r="C1615" s="52" t="s">
        <v>5495</v>
      </c>
      <c r="D1615" s="53" t="s">
        <v>5496</v>
      </c>
      <c r="E1615" s="52" t="s">
        <v>5497</v>
      </c>
      <c r="F1615" s="52" t="s">
        <v>5353</v>
      </c>
    </row>
    <row r="1616" spans="1:6" ht="12" x14ac:dyDescent="0.2">
      <c r="A1616" s="65">
        <v>61347</v>
      </c>
      <c r="B1616" s="52" t="s">
        <v>5498</v>
      </c>
      <c r="C1616" s="52" t="s">
        <v>5499</v>
      </c>
      <c r="D1616" s="53" t="s">
        <v>5500</v>
      </c>
      <c r="E1616" s="52" t="s">
        <v>5501</v>
      </c>
      <c r="F1616" s="52" t="s">
        <v>1873</v>
      </c>
    </row>
    <row r="1617" spans="1:6" ht="12" x14ac:dyDescent="0.2">
      <c r="A1617" s="65">
        <v>61348</v>
      </c>
      <c r="B1617" s="52" t="s">
        <v>5502</v>
      </c>
      <c r="C1617" s="52" t="s">
        <v>5503</v>
      </c>
      <c r="D1617" s="53" t="s">
        <v>5504</v>
      </c>
      <c r="E1617" s="52" t="s">
        <v>5505</v>
      </c>
      <c r="F1617" s="52" t="s">
        <v>5283</v>
      </c>
    </row>
    <row r="1618" spans="1:6" ht="12" x14ac:dyDescent="0.2">
      <c r="A1618" s="65">
        <v>61349</v>
      </c>
      <c r="B1618" s="52" t="s">
        <v>5506</v>
      </c>
      <c r="C1618" s="52" t="s">
        <v>5507</v>
      </c>
      <c r="D1618" s="53" t="s">
        <v>5508</v>
      </c>
      <c r="E1618" s="52" t="s">
        <v>5301</v>
      </c>
      <c r="F1618" s="52" t="s">
        <v>5210</v>
      </c>
    </row>
    <row r="1619" spans="1:6" ht="12" x14ac:dyDescent="0.2">
      <c r="A1619" s="65">
        <v>61376</v>
      </c>
      <c r="B1619" s="52" t="s">
        <v>5509</v>
      </c>
      <c r="C1619" s="52" t="s">
        <v>5510</v>
      </c>
      <c r="D1619" s="53" t="s">
        <v>5511</v>
      </c>
      <c r="E1619" s="52" t="s">
        <v>5390</v>
      </c>
      <c r="F1619" s="52" t="s">
        <v>5222</v>
      </c>
    </row>
    <row r="1620" spans="1:6" ht="12" x14ac:dyDescent="0.2">
      <c r="A1620" s="65">
        <v>61617</v>
      </c>
      <c r="B1620" s="52" t="s">
        <v>5512</v>
      </c>
      <c r="C1620" s="52" t="s">
        <v>5513</v>
      </c>
      <c r="D1620" s="53" t="s">
        <v>5514</v>
      </c>
      <c r="E1620" s="52" t="s">
        <v>5233</v>
      </c>
      <c r="F1620" s="52" t="s">
        <v>5233</v>
      </c>
    </row>
    <row r="1621" spans="1:6" ht="12" x14ac:dyDescent="0.2">
      <c r="A1621" s="65">
        <v>61618</v>
      </c>
      <c r="B1621" s="52" t="s">
        <v>5515</v>
      </c>
      <c r="C1621" s="52" t="s">
        <v>5516</v>
      </c>
      <c r="D1621" s="53" t="s">
        <v>5517</v>
      </c>
      <c r="E1621" s="52" t="s">
        <v>5515</v>
      </c>
      <c r="F1621" s="52" t="s">
        <v>5233</v>
      </c>
    </row>
    <row r="1622" spans="1:6" ht="12" x14ac:dyDescent="0.2">
      <c r="A1622" s="65">
        <v>61645</v>
      </c>
      <c r="B1622" s="52" t="s">
        <v>5518</v>
      </c>
      <c r="C1622" s="52" t="s">
        <v>5519</v>
      </c>
      <c r="D1622" s="53" t="s">
        <v>5520</v>
      </c>
      <c r="E1622" s="52" t="s">
        <v>5222</v>
      </c>
      <c r="F1622" s="52" t="s">
        <v>5222</v>
      </c>
    </row>
    <row r="1623" spans="1:6" ht="12" x14ac:dyDescent="0.2">
      <c r="A1623" s="65">
        <v>61672</v>
      </c>
      <c r="B1623" s="52" t="s">
        <v>5521</v>
      </c>
      <c r="C1623" s="52" t="s">
        <v>5522</v>
      </c>
      <c r="D1623" s="53" t="s">
        <v>5523</v>
      </c>
      <c r="E1623" s="52" t="s">
        <v>5521</v>
      </c>
      <c r="F1623" s="52" t="s">
        <v>5201</v>
      </c>
    </row>
    <row r="1624" spans="1:6" ht="12" x14ac:dyDescent="0.2">
      <c r="A1624" s="65">
        <v>61729</v>
      </c>
      <c r="B1624" s="52" t="s">
        <v>5524</v>
      </c>
      <c r="C1624" s="52" t="s">
        <v>5525</v>
      </c>
      <c r="D1624" s="53" t="s">
        <v>5526</v>
      </c>
      <c r="E1624" s="52" t="s">
        <v>5524</v>
      </c>
      <c r="F1624" s="52" t="s">
        <v>5385</v>
      </c>
    </row>
    <row r="1625" spans="1:6" ht="12" x14ac:dyDescent="0.2">
      <c r="A1625" s="65">
        <v>61744</v>
      </c>
      <c r="B1625" s="52" t="s">
        <v>5527</v>
      </c>
      <c r="C1625" s="52" t="s">
        <v>5528</v>
      </c>
      <c r="D1625" s="53" t="s">
        <v>5529</v>
      </c>
      <c r="E1625" s="52" t="s">
        <v>5527</v>
      </c>
      <c r="F1625" s="52" t="s">
        <v>5530</v>
      </c>
    </row>
    <row r="1626" spans="1:6" ht="12" x14ac:dyDescent="0.2">
      <c r="A1626" s="65">
        <v>61765</v>
      </c>
      <c r="B1626" s="52" t="s">
        <v>5531</v>
      </c>
      <c r="C1626" s="52" t="s">
        <v>5532</v>
      </c>
      <c r="D1626" s="53" t="s">
        <v>5533</v>
      </c>
      <c r="E1626" s="52" t="s">
        <v>5400</v>
      </c>
      <c r="F1626" s="52" t="s">
        <v>5210</v>
      </c>
    </row>
    <row r="1627" spans="1:6" ht="12" x14ac:dyDescent="0.2">
      <c r="A1627" s="65">
        <v>61821</v>
      </c>
      <c r="B1627" s="52" t="s">
        <v>5534</v>
      </c>
      <c r="C1627" s="52" t="s">
        <v>5535</v>
      </c>
      <c r="D1627" s="53" t="s">
        <v>5536</v>
      </c>
      <c r="E1627" s="52" t="s">
        <v>5278</v>
      </c>
      <c r="F1627" s="52" t="s">
        <v>5279</v>
      </c>
    </row>
    <row r="1628" spans="1:6" ht="12" x14ac:dyDescent="0.2">
      <c r="A1628" s="65">
        <v>61831</v>
      </c>
      <c r="B1628" s="52" t="s">
        <v>5537</v>
      </c>
      <c r="C1628" s="52" t="s">
        <v>5538</v>
      </c>
      <c r="D1628" s="53" t="s">
        <v>5539</v>
      </c>
      <c r="E1628" s="52" t="s">
        <v>5439</v>
      </c>
      <c r="F1628" s="52" t="s">
        <v>5279</v>
      </c>
    </row>
    <row r="1629" spans="1:6" ht="12" x14ac:dyDescent="0.2">
      <c r="A1629" s="65">
        <v>61833</v>
      </c>
      <c r="B1629" s="52" t="s">
        <v>5540</v>
      </c>
      <c r="C1629" s="52" t="s">
        <v>5541</v>
      </c>
      <c r="D1629" s="53" t="s">
        <v>5542</v>
      </c>
      <c r="E1629" s="52" t="s">
        <v>5439</v>
      </c>
      <c r="F1629" s="52" t="s">
        <v>5279</v>
      </c>
    </row>
    <row r="1630" spans="1:6" ht="12" x14ac:dyDescent="0.2">
      <c r="A1630" s="65">
        <v>61834</v>
      </c>
      <c r="B1630" s="52" t="s">
        <v>5543</v>
      </c>
      <c r="C1630" s="52" t="s">
        <v>5544</v>
      </c>
      <c r="D1630" s="53" t="s">
        <v>5545</v>
      </c>
      <c r="E1630" s="52" t="s">
        <v>5546</v>
      </c>
      <c r="F1630" s="52" t="s">
        <v>5279</v>
      </c>
    </row>
    <row r="1631" spans="1:6" ht="12" x14ac:dyDescent="0.2">
      <c r="A1631" s="65">
        <v>61881</v>
      </c>
      <c r="B1631" s="52" t="s">
        <v>5547</v>
      </c>
      <c r="C1631" s="52" t="s">
        <v>5548</v>
      </c>
      <c r="D1631" s="53" t="s">
        <v>5549</v>
      </c>
      <c r="E1631" s="52" t="s">
        <v>5550</v>
      </c>
      <c r="F1631" s="52" t="s">
        <v>5334</v>
      </c>
    </row>
    <row r="1632" spans="1:6" ht="12" x14ac:dyDescent="0.2">
      <c r="A1632" s="65">
        <v>61907</v>
      </c>
      <c r="B1632" s="52" t="s">
        <v>5551</v>
      </c>
      <c r="C1632" s="52" t="s">
        <v>5552</v>
      </c>
      <c r="D1632" s="53" t="s">
        <v>5553</v>
      </c>
      <c r="E1632" s="52" t="s">
        <v>5201</v>
      </c>
      <c r="F1632" s="52" t="s">
        <v>5201</v>
      </c>
    </row>
    <row r="1633" spans="1:6" ht="12" x14ac:dyDescent="0.2">
      <c r="A1633" s="65">
        <v>61916</v>
      </c>
      <c r="B1633" s="52" t="s">
        <v>5554</v>
      </c>
      <c r="C1633" s="52" t="s">
        <v>5555</v>
      </c>
      <c r="D1633" s="53" t="s">
        <v>5556</v>
      </c>
      <c r="E1633" s="52" t="s">
        <v>5201</v>
      </c>
      <c r="F1633" s="52" t="s">
        <v>5201</v>
      </c>
    </row>
    <row r="1634" spans="1:6" ht="12" x14ac:dyDescent="0.2">
      <c r="A1634" s="65">
        <v>61931</v>
      </c>
      <c r="B1634" s="52" t="s">
        <v>5557</v>
      </c>
      <c r="C1634" s="52" t="s">
        <v>5558</v>
      </c>
      <c r="D1634" s="53" t="s">
        <v>5559</v>
      </c>
      <c r="E1634" s="52" t="s">
        <v>5474</v>
      </c>
      <c r="F1634" s="52" t="s">
        <v>5201</v>
      </c>
    </row>
    <row r="1635" spans="1:6" ht="12" x14ac:dyDescent="0.2">
      <c r="A1635" s="65">
        <v>61967</v>
      </c>
      <c r="B1635" s="52" t="s">
        <v>5560</v>
      </c>
      <c r="C1635" s="52" t="s">
        <v>5561</v>
      </c>
      <c r="D1635" s="53" t="s">
        <v>5562</v>
      </c>
      <c r="E1635" s="52" t="s">
        <v>5563</v>
      </c>
      <c r="F1635" s="52" t="s">
        <v>5226</v>
      </c>
    </row>
    <row r="1636" spans="1:6" ht="12" x14ac:dyDescent="0.2">
      <c r="A1636" s="65">
        <v>61974</v>
      </c>
      <c r="B1636" s="52" t="s">
        <v>5564</v>
      </c>
      <c r="C1636" s="52" t="s">
        <v>5565</v>
      </c>
      <c r="D1636" s="53" t="s">
        <v>5566</v>
      </c>
      <c r="E1636" s="52" t="s">
        <v>5567</v>
      </c>
      <c r="F1636" s="52" t="s">
        <v>5226</v>
      </c>
    </row>
    <row r="1637" spans="1:6" ht="12" x14ac:dyDescent="0.2">
      <c r="A1637" s="65">
        <v>61982</v>
      </c>
      <c r="B1637" s="52" t="s">
        <v>5568</v>
      </c>
      <c r="C1637" s="52" t="s">
        <v>5569</v>
      </c>
      <c r="D1637" s="53" t="s">
        <v>5570</v>
      </c>
      <c r="E1637" s="52" t="s">
        <v>5568</v>
      </c>
      <c r="F1637" s="52" t="s">
        <v>5226</v>
      </c>
    </row>
    <row r="1638" spans="1:6" ht="12" x14ac:dyDescent="0.2">
      <c r="A1638" s="65">
        <v>62007</v>
      </c>
      <c r="B1638" s="52" t="s">
        <v>5571</v>
      </c>
      <c r="C1638" s="52" t="s">
        <v>5572</v>
      </c>
      <c r="D1638" s="53" t="s">
        <v>5573</v>
      </c>
      <c r="E1638" s="52" t="s">
        <v>5348</v>
      </c>
      <c r="F1638" s="52" t="s">
        <v>5279</v>
      </c>
    </row>
    <row r="1639" spans="1:6" ht="12" x14ac:dyDescent="0.2">
      <c r="A1639" s="65">
        <v>62065</v>
      </c>
      <c r="B1639" s="52" t="s">
        <v>5574</v>
      </c>
      <c r="C1639" s="52" t="s">
        <v>5575</v>
      </c>
      <c r="D1639" s="53" t="s">
        <v>5576</v>
      </c>
      <c r="E1639" s="52" t="s">
        <v>5577</v>
      </c>
      <c r="F1639" s="52" t="s">
        <v>5385</v>
      </c>
    </row>
    <row r="1640" spans="1:6" ht="12" x14ac:dyDescent="0.2">
      <c r="A1640" s="65">
        <v>62066</v>
      </c>
      <c r="B1640" s="52" t="s">
        <v>5578</v>
      </c>
      <c r="C1640" s="52" t="s">
        <v>5579</v>
      </c>
      <c r="D1640" s="53" t="s">
        <v>5580</v>
      </c>
      <c r="E1640" s="52" t="s">
        <v>5577</v>
      </c>
      <c r="F1640" s="52" t="s">
        <v>5385</v>
      </c>
    </row>
    <row r="1641" spans="1:6" ht="12" x14ac:dyDescent="0.2">
      <c r="A1641" s="65">
        <v>62067</v>
      </c>
      <c r="B1641" s="52" t="s">
        <v>5581</v>
      </c>
      <c r="C1641" s="52" t="s">
        <v>5582</v>
      </c>
      <c r="D1641" s="53" t="s">
        <v>5583</v>
      </c>
      <c r="E1641" s="52" t="s">
        <v>5385</v>
      </c>
      <c r="F1641" s="52" t="s">
        <v>5385</v>
      </c>
    </row>
    <row r="1642" spans="1:6" ht="12" x14ac:dyDescent="0.2">
      <c r="A1642" s="65">
        <v>62119</v>
      </c>
      <c r="B1642" s="52" t="s">
        <v>5584</v>
      </c>
      <c r="C1642" s="52" t="s">
        <v>5585</v>
      </c>
      <c r="D1642" s="53" t="s">
        <v>5586</v>
      </c>
      <c r="E1642" s="52" t="s">
        <v>1564</v>
      </c>
      <c r="F1642" s="52" t="s">
        <v>1564</v>
      </c>
    </row>
    <row r="1643" spans="1:6" ht="12" x14ac:dyDescent="0.2">
      <c r="A1643" s="65">
        <v>62127</v>
      </c>
      <c r="B1643" s="52" t="s">
        <v>5587</v>
      </c>
      <c r="C1643" s="52" t="s">
        <v>5588</v>
      </c>
      <c r="D1643" s="53" t="s">
        <v>5589</v>
      </c>
      <c r="E1643" s="52" t="s">
        <v>5590</v>
      </c>
      <c r="F1643" s="52" t="s">
        <v>1564</v>
      </c>
    </row>
    <row r="1644" spans="1:6" ht="12" x14ac:dyDescent="0.2">
      <c r="A1644" s="65">
        <v>62144</v>
      </c>
      <c r="B1644" s="52" t="s">
        <v>5591</v>
      </c>
      <c r="C1644" s="52" t="s">
        <v>5592</v>
      </c>
      <c r="D1644" s="53" t="s">
        <v>5593</v>
      </c>
      <c r="E1644" s="52" t="s">
        <v>5248</v>
      </c>
      <c r="F1644" s="52" t="s">
        <v>1564</v>
      </c>
    </row>
    <row r="1645" spans="1:6" ht="12" x14ac:dyDescent="0.2">
      <c r="A1645" s="65">
        <v>62155</v>
      </c>
      <c r="B1645" s="52" t="s">
        <v>5594</v>
      </c>
      <c r="C1645" s="52" t="s">
        <v>5595</v>
      </c>
      <c r="D1645" s="53" t="s">
        <v>5373</v>
      </c>
      <c r="E1645" s="52" t="s">
        <v>5374</v>
      </c>
      <c r="F1645" s="52" t="s">
        <v>1564</v>
      </c>
    </row>
    <row r="1646" spans="1:6" ht="12" x14ac:dyDescent="0.2">
      <c r="A1646" s="65">
        <v>62159</v>
      </c>
      <c r="B1646" s="52" t="s">
        <v>5596</v>
      </c>
      <c r="C1646" s="52" t="s">
        <v>5376</v>
      </c>
      <c r="D1646" s="53" t="s">
        <v>5377</v>
      </c>
      <c r="E1646" s="52" t="s">
        <v>5378</v>
      </c>
      <c r="F1646" s="52" t="s">
        <v>5283</v>
      </c>
    </row>
    <row r="1647" spans="1:6" ht="12" x14ac:dyDescent="0.2">
      <c r="A1647" s="65">
        <v>62172</v>
      </c>
      <c r="B1647" s="52" t="s">
        <v>5597</v>
      </c>
      <c r="C1647" s="52" t="s">
        <v>5598</v>
      </c>
      <c r="D1647" s="53" t="s">
        <v>5599</v>
      </c>
      <c r="E1647" s="52" t="s">
        <v>5597</v>
      </c>
      <c r="F1647" s="52" t="s">
        <v>5600</v>
      </c>
    </row>
    <row r="1648" spans="1:6" ht="12" x14ac:dyDescent="0.2">
      <c r="A1648" s="65">
        <v>62198</v>
      </c>
      <c r="B1648" s="52" t="s">
        <v>5601</v>
      </c>
      <c r="C1648" s="52" t="s">
        <v>5602</v>
      </c>
      <c r="D1648" s="53" t="s">
        <v>5603</v>
      </c>
      <c r="E1648" s="52" t="s">
        <v>5604</v>
      </c>
      <c r="F1648" s="52" t="s">
        <v>5600</v>
      </c>
    </row>
    <row r="1649" spans="1:6" ht="12" x14ac:dyDescent="0.2">
      <c r="A1649" s="65">
        <v>62205</v>
      </c>
      <c r="B1649" s="52" t="s">
        <v>5605</v>
      </c>
      <c r="C1649" s="52" t="s">
        <v>5606</v>
      </c>
      <c r="D1649" s="53" t="s">
        <v>5607</v>
      </c>
      <c r="E1649" s="52" t="s">
        <v>5608</v>
      </c>
      <c r="F1649" s="52" t="s">
        <v>5353</v>
      </c>
    </row>
    <row r="1650" spans="1:6" ht="12" x14ac:dyDescent="0.2">
      <c r="A1650" s="65">
        <v>62212</v>
      </c>
      <c r="B1650" s="52" t="s">
        <v>5609</v>
      </c>
      <c r="C1650" s="52" t="s">
        <v>5610</v>
      </c>
      <c r="D1650" s="53" t="s">
        <v>5611</v>
      </c>
      <c r="E1650" s="52" t="s">
        <v>5612</v>
      </c>
      <c r="F1650" s="52" t="s">
        <v>5353</v>
      </c>
    </row>
    <row r="1651" spans="1:6" ht="12" x14ac:dyDescent="0.2">
      <c r="A1651" s="65">
        <v>62218</v>
      </c>
      <c r="B1651" s="52" t="s">
        <v>5613</v>
      </c>
      <c r="C1651" s="52" t="s">
        <v>5614</v>
      </c>
      <c r="D1651" s="53" t="s">
        <v>5408</v>
      </c>
      <c r="E1651" s="52" t="s">
        <v>5409</v>
      </c>
      <c r="F1651" s="54" t="s">
        <v>5201</v>
      </c>
    </row>
    <row r="1652" spans="1:6" ht="12" x14ac:dyDescent="0.2">
      <c r="A1652" s="65">
        <v>62224</v>
      </c>
      <c r="B1652" s="52" t="s">
        <v>5615</v>
      </c>
      <c r="C1652" s="52" t="s">
        <v>5616</v>
      </c>
      <c r="D1652" s="53" t="s">
        <v>5617</v>
      </c>
      <c r="E1652" s="52" t="s">
        <v>5608</v>
      </c>
      <c r="F1652" s="54" t="s">
        <v>5353</v>
      </c>
    </row>
    <row r="1653" spans="1:6" ht="12" x14ac:dyDescent="0.2">
      <c r="A1653" s="65">
        <v>62253</v>
      </c>
      <c r="B1653" s="52" t="s">
        <v>5618</v>
      </c>
      <c r="C1653" s="52" t="s">
        <v>5619</v>
      </c>
      <c r="D1653" s="53" t="s">
        <v>5620</v>
      </c>
      <c r="E1653" s="52" t="s">
        <v>5621</v>
      </c>
      <c r="F1653" s="54" t="s">
        <v>5353</v>
      </c>
    </row>
    <row r="1654" spans="1:6" ht="12" x14ac:dyDescent="0.2">
      <c r="A1654" s="65">
        <v>62262</v>
      </c>
      <c r="B1654" s="52" t="s">
        <v>5622</v>
      </c>
      <c r="C1654" s="52" t="s">
        <v>5623</v>
      </c>
      <c r="D1654" s="53" t="s">
        <v>5624</v>
      </c>
      <c r="E1654" s="52" t="s">
        <v>5399</v>
      </c>
      <c r="F1654" s="54" t="s">
        <v>1873</v>
      </c>
    </row>
    <row r="1655" spans="1:6" ht="12" x14ac:dyDescent="0.2">
      <c r="A1655" s="65">
        <v>62269</v>
      </c>
      <c r="B1655" s="52" t="s">
        <v>5625</v>
      </c>
      <c r="C1655" s="52" t="s">
        <v>5626</v>
      </c>
      <c r="D1655" s="53" t="s">
        <v>5627</v>
      </c>
      <c r="E1655" s="52" t="s">
        <v>5501</v>
      </c>
      <c r="F1655" s="52" t="s">
        <v>1873</v>
      </c>
    </row>
    <row r="1656" spans="1:6" ht="12" x14ac:dyDescent="0.2">
      <c r="A1656" s="65">
        <v>62273</v>
      </c>
      <c r="B1656" s="52" t="s">
        <v>5628</v>
      </c>
      <c r="C1656" s="52" t="s">
        <v>5414</v>
      </c>
      <c r="D1656" s="53" t="s">
        <v>5415</v>
      </c>
      <c r="E1656" s="52" t="s">
        <v>5416</v>
      </c>
      <c r="F1656" s="52" t="s">
        <v>5417</v>
      </c>
    </row>
    <row r="1657" spans="1:6" ht="12" x14ac:dyDescent="0.2">
      <c r="A1657" s="65">
        <v>62289</v>
      </c>
      <c r="B1657" s="52" t="s">
        <v>5629</v>
      </c>
      <c r="C1657" s="52" t="s">
        <v>5630</v>
      </c>
      <c r="D1657" s="53" t="s">
        <v>5631</v>
      </c>
      <c r="E1657" s="52" t="s">
        <v>5399</v>
      </c>
      <c r="F1657" s="52" t="s">
        <v>1873</v>
      </c>
    </row>
    <row r="1658" spans="1:6" ht="12" x14ac:dyDescent="0.2">
      <c r="A1658" s="65">
        <v>62290</v>
      </c>
      <c r="B1658" s="52" t="s">
        <v>5632</v>
      </c>
      <c r="C1658" s="52" t="s">
        <v>5633</v>
      </c>
      <c r="D1658" s="53" t="s">
        <v>5634</v>
      </c>
      <c r="E1658" s="52" t="s">
        <v>5635</v>
      </c>
      <c r="F1658" s="52" t="s">
        <v>1873</v>
      </c>
    </row>
    <row r="1659" spans="1:6" ht="12" x14ac:dyDescent="0.2">
      <c r="A1659" s="65">
        <v>62298</v>
      </c>
      <c r="B1659" s="52" t="s">
        <v>5636</v>
      </c>
      <c r="C1659" s="52" t="s">
        <v>5637</v>
      </c>
      <c r="D1659" s="53" t="s">
        <v>5638</v>
      </c>
      <c r="E1659" s="52" t="s">
        <v>5284</v>
      </c>
      <c r="F1659" s="52" t="s">
        <v>1873</v>
      </c>
    </row>
    <row r="1660" spans="1:6" ht="12" x14ac:dyDescent="0.2">
      <c r="A1660" s="65">
        <v>62301</v>
      </c>
      <c r="B1660" s="52" t="s">
        <v>5639</v>
      </c>
      <c r="C1660" s="52" t="s">
        <v>5640</v>
      </c>
      <c r="D1660" s="53" t="s">
        <v>5641</v>
      </c>
      <c r="E1660" s="52" t="s">
        <v>5642</v>
      </c>
      <c r="F1660" s="52" t="s">
        <v>5233</v>
      </c>
    </row>
    <row r="1661" spans="1:6" ht="12" x14ac:dyDescent="0.2">
      <c r="A1661" s="65">
        <v>62330</v>
      </c>
      <c r="B1661" s="52" t="s">
        <v>5643</v>
      </c>
      <c r="C1661" s="52" t="s">
        <v>5482</v>
      </c>
      <c r="D1661" s="53" t="s">
        <v>5644</v>
      </c>
      <c r="E1661" s="52" t="s">
        <v>5278</v>
      </c>
      <c r="F1661" s="52" t="s">
        <v>5279</v>
      </c>
    </row>
    <row r="1662" spans="1:6" ht="12" x14ac:dyDescent="0.2">
      <c r="A1662" s="65">
        <v>62376</v>
      </c>
      <c r="B1662" s="52" t="s">
        <v>5645</v>
      </c>
      <c r="C1662" s="52" t="s">
        <v>5646</v>
      </c>
      <c r="D1662" s="53" t="s">
        <v>5647</v>
      </c>
      <c r="E1662" s="52" t="s">
        <v>5648</v>
      </c>
      <c r="F1662" s="52" t="s">
        <v>1873</v>
      </c>
    </row>
    <row r="1663" spans="1:6" ht="12" x14ac:dyDescent="0.2">
      <c r="A1663" s="65">
        <v>62378</v>
      </c>
      <c r="B1663" s="52" t="s">
        <v>5649</v>
      </c>
      <c r="C1663" s="52" t="s">
        <v>5650</v>
      </c>
      <c r="D1663" s="53" t="s">
        <v>5651</v>
      </c>
      <c r="E1663" s="52" t="s">
        <v>5652</v>
      </c>
      <c r="F1663" s="52" t="s">
        <v>1873</v>
      </c>
    </row>
    <row r="1664" spans="1:6" ht="12" x14ac:dyDescent="0.2">
      <c r="A1664" s="65">
        <v>62387</v>
      </c>
      <c r="B1664" s="52" t="s">
        <v>5653</v>
      </c>
      <c r="C1664" s="52" t="s">
        <v>5654</v>
      </c>
      <c r="D1664" s="53" t="s">
        <v>5655</v>
      </c>
      <c r="E1664" s="52" t="s">
        <v>5652</v>
      </c>
      <c r="F1664" s="52" t="s">
        <v>1873</v>
      </c>
    </row>
    <row r="1665" spans="1:6" ht="12" x14ac:dyDescent="0.2">
      <c r="A1665" s="65">
        <v>62413</v>
      </c>
      <c r="B1665" s="52" t="s">
        <v>5656</v>
      </c>
      <c r="C1665" s="52" t="s">
        <v>5657</v>
      </c>
      <c r="D1665" s="53" t="s">
        <v>5658</v>
      </c>
      <c r="E1665" s="52" t="s">
        <v>5656</v>
      </c>
      <c r="F1665" s="52" t="s">
        <v>5430</v>
      </c>
    </row>
    <row r="1666" spans="1:6" ht="12" x14ac:dyDescent="0.2">
      <c r="A1666" s="65">
        <v>62425</v>
      </c>
      <c r="B1666" s="52" t="s">
        <v>5659</v>
      </c>
      <c r="C1666" s="52" t="s">
        <v>5660</v>
      </c>
      <c r="D1666" s="53" t="s">
        <v>5661</v>
      </c>
      <c r="E1666" s="52" t="s">
        <v>5662</v>
      </c>
      <c r="F1666" s="52" t="s">
        <v>5430</v>
      </c>
    </row>
    <row r="1667" spans="1:6" ht="12" x14ac:dyDescent="0.2">
      <c r="A1667" s="65">
        <v>62475</v>
      </c>
      <c r="B1667" s="52" t="s">
        <v>5663</v>
      </c>
      <c r="C1667" s="52" t="s">
        <v>5664</v>
      </c>
      <c r="D1667" s="53" t="s">
        <v>5665</v>
      </c>
      <c r="E1667" s="52" t="s">
        <v>5242</v>
      </c>
      <c r="F1667" s="52" t="s">
        <v>5210</v>
      </c>
    </row>
    <row r="1668" spans="1:6" ht="12" x14ac:dyDescent="0.2">
      <c r="A1668" s="65">
        <v>62493</v>
      </c>
      <c r="B1668" s="52" t="s">
        <v>5666</v>
      </c>
      <c r="C1668" s="52" t="s">
        <v>5667</v>
      </c>
      <c r="D1668" s="53" t="s">
        <v>5668</v>
      </c>
      <c r="E1668" s="52" t="s">
        <v>5301</v>
      </c>
      <c r="F1668" s="52" t="s">
        <v>5210</v>
      </c>
    </row>
    <row r="1669" spans="1:6" ht="12" x14ac:dyDescent="0.2">
      <c r="A1669" s="65">
        <v>62514</v>
      </c>
      <c r="B1669" s="52" t="s">
        <v>5669</v>
      </c>
      <c r="C1669" s="52" t="s">
        <v>5670</v>
      </c>
      <c r="D1669" s="53" t="s">
        <v>5671</v>
      </c>
      <c r="E1669" s="52" t="s">
        <v>5214</v>
      </c>
      <c r="F1669" s="52" t="s">
        <v>5210</v>
      </c>
    </row>
    <row r="1670" spans="1:6" ht="12" x14ac:dyDescent="0.2">
      <c r="A1670" s="65">
        <v>62515</v>
      </c>
      <c r="B1670" s="52" t="s">
        <v>5672</v>
      </c>
      <c r="C1670" s="52" t="s">
        <v>5673</v>
      </c>
      <c r="D1670" s="53" t="s">
        <v>5674</v>
      </c>
      <c r="E1670" s="52" t="s">
        <v>5209</v>
      </c>
      <c r="F1670" s="52" t="s">
        <v>5210</v>
      </c>
    </row>
    <row r="1671" spans="1:6" ht="12" x14ac:dyDescent="0.2">
      <c r="A1671" s="65">
        <v>62521</v>
      </c>
      <c r="B1671" s="52" t="s">
        <v>5675</v>
      </c>
      <c r="C1671" s="52" t="s">
        <v>5676</v>
      </c>
      <c r="D1671" s="53" t="s">
        <v>5677</v>
      </c>
      <c r="E1671" s="52" t="s">
        <v>5301</v>
      </c>
      <c r="F1671" s="52" t="s">
        <v>5210</v>
      </c>
    </row>
    <row r="1672" spans="1:6" ht="12" x14ac:dyDescent="0.2">
      <c r="A1672" s="65">
        <v>62522</v>
      </c>
      <c r="B1672" s="52" t="s">
        <v>5678</v>
      </c>
      <c r="C1672" s="52" t="s">
        <v>5679</v>
      </c>
      <c r="D1672" s="53" t="s">
        <v>5680</v>
      </c>
      <c r="E1672" s="52" t="s">
        <v>5344</v>
      </c>
      <c r="F1672" s="52" t="s">
        <v>5210</v>
      </c>
    </row>
    <row r="1673" spans="1:6" ht="12" x14ac:dyDescent="0.2">
      <c r="A1673" s="65">
        <v>62543</v>
      </c>
      <c r="B1673" s="52" t="s">
        <v>5681</v>
      </c>
      <c r="C1673" s="52" t="s">
        <v>5682</v>
      </c>
      <c r="D1673" s="53" t="s">
        <v>5683</v>
      </c>
      <c r="E1673" s="52" t="s">
        <v>5233</v>
      </c>
      <c r="F1673" s="52" t="s">
        <v>5233</v>
      </c>
    </row>
    <row r="1674" spans="1:6" ht="12" x14ac:dyDescent="0.2">
      <c r="A1674" s="65">
        <v>62558</v>
      </c>
      <c r="B1674" s="52" t="s">
        <v>5684</v>
      </c>
      <c r="C1674" s="52" t="s">
        <v>5685</v>
      </c>
      <c r="D1674" s="53" t="s">
        <v>5686</v>
      </c>
      <c r="E1674" s="52" t="s">
        <v>5230</v>
      </c>
      <c r="F1674" s="52" t="s">
        <v>5233</v>
      </c>
    </row>
    <row r="1675" spans="1:6" ht="12" x14ac:dyDescent="0.2">
      <c r="A1675" s="65">
        <v>62597</v>
      </c>
      <c r="B1675" s="52" t="s">
        <v>5687</v>
      </c>
      <c r="C1675" s="52" t="s">
        <v>5688</v>
      </c>
      <c r="D1675" s="53" t="s">
        <v>5689</v>
      </c>
      <c r="E1675" s="52" t="s">
        <v>5478</v>
      </c>
      <c r="F1675" s="52" t="s">
        <v>5233</v>
      </c>
    </row>
    <row r="1676" spans="1:6" ht="12" x14ac:dyDescent="0.2">
      <c r="A1676" s="65">
        <v>62599</v>
      </c>
      <c r="B1676" s="52" t="s">
        <v>5690</v>
      </c>
      <c r="C1676" s="52" t="s">
        <v>5691</v>
      </c>
      <c r="D1676" s="53" t="s">
        <v>5692</v>
      </c>
      <c r="E1676" s="52" t="s">
        <v>5478</v>
      </c>
      <c r="F1676" s="52" t="s">
        <v>5233</v>
      </c>
    </row>
    <row r="1677" spans="1:6" ht="12" x14ac:dyDescent="0.2">
      <c r="A1677" s="65">
        <v>62619</v>
      </c>
      <c r="B1677" s="52" t="s">
        <v>5693</v>
      </c>
      <c r="C1677" s="52" t="s">
        <v>5694</v>
      </c>
      <c r="D1677" s="53" t="s">
        <v>5695</v>
      </c>
      <c r="E1677" s="52" t="s">
        <v>5267</v>
      </c>
      <c r="F1677" s="52" t="s">
        <v>5218</v>
      </c>
    </row>
    <row r="1678" spans="1:6" ht="12" x14ac:dyDescent="0.2">
      <c r="A1678" s="65">
        <v>62620</v>
      </c>
      <c r="B1678" s="52" t="s">
        <v>5696</v>
      </c>
      <c r="C1678" s="52" t="s">
        <v>5694</v>
      </c>
      <c r="D1678" s="53" t="s">
        <v>5695</v>
      </c>
      <c r="E1678" s="52" t="s">
        <v>5267</v>
      </c>
      <c r="F1678" s="52" t="s">
        <v>5218</v>
      </c>
    </row>
    <row r="1679" spans="1:6" ht="12" x14ac:dyDescent="0.2">
      <c r="A1679" s="65">
        <v>62626</v>
      </c>
      <c r="B1679" s="52" t="s">
        <v>5697</v>
      </c>
      <c r="C1679" s="52" t="s">
        <v>5698</v>
      </c>
      <c r="D1679" s="53" t="s">
        <v>5699</v>
      </c>
      <c r="E1679" s="52" t="s">
        <v>5359</v>
      </c>
      <c r="F1679" s="52" t="s">
        <v>5218</v>
      </c>
    </row>
    <row r="1680" spans="1:6" ht="12" x14ac:dyDescent="0.2">
      <c r="A1680" s="65">
        <v>62627</v>
      </c>
      <c r="B1680" s="52" t="s">
        <v>5700</v>
      </c>
      <c r="C1680" s="52" t="s">
        <v>5701</v>
      </c>
      <c r="D1680" s="53" t="s">
        <v>5699</v>
      </c>
      <c r="E1680" s="52" t="s">
        <v>5359</v>
      </c>
      <c r="F1680" s="52" t="s">
        <v>5218</v>
      </c>
    </row>
    <row r="1681" spans="1:6" ht="12" x14ac:dyDescent="0.2">
      <c r="A1681" s="65">
        <v>62643</v>
      </c>
      <c r="B1681" s="52" t="s">
        <v>5702</v>
      </c>
      <c r="C1681" s="52" t="s">
        <v>5703</v>
      </c>
      <c r="D1681" s="53" t="s">
        <v>5704</v>
      </c>
      <c r="E1681" s="52" t="s">
        <v>5267</v>
      </c>
      <c r="F1681" s="52" t="s">
        <v>5218</v>
      </c>
    </row>
    <row r="1682" spans="1:6" ht="12" x14ac:dyDescent="0.2">
      <c r="A1682" s="65">
        <v>62673</v>
      </c>
      <c r="B1682" s="52" t="s">
        <v>5705</v>
      </c>
      <c r="C1682" s="52" t="s">
        <v>5706</v>
      </c>
      <c r="D1682" s="53" t="s">
        <v>5707</v>
      </c>
      <c r="E1682" s="52" t="s">
        <v>5708</v>
      </c>
      <c r="F1682" s="52" t="s">
        <v>5530</v>
      </c>
    </row>
    <row r="1683" spans="1:6" ht="12" x14ac:dyDescent="0.2">
      <c r="A1683" s="65">
        <v>62685</v>
      </c>
      <c r="B1683" s="52" t="s">
        <v>5709</v>
      </c>
      <c r="C1683" s="52" t="s">
        <v>5710</v>
      </c>
      <c r="D1683" s="53" t="s">
        <v>5711</v>
      </c>
      <c r="E1683" s="52" t="s">
        <v>5712</v>
      </c>
      <c r="F1683" s="52" t="s">
        <v>5530</v>
      </c>
    </row>
    <row r="1684" spans="1:6" ht="12" x14ac:dyDescent="0.2">
      <c r="A1684" s="65">
        <v>62715</v>
      </c>
      <c r="B1684" s="52" t="s">
        <v>5713</v>
      </c>
      <c r="C1684" s="52" t="s">
        <v>5714</v>
      </c>
      <c r="D1684" s="53" t="s">
        <v>5715</v>
      </c>
      <c r="E1684" s="52" t="s">
        <v>5713</v>
      </c>
      <c r="F1684" s="52" t="s">
        <v>5283</v>
      </c>
    </row>
    <row r="1685" spans="1:6" ht="12" x14ac:dyDescent="0.2">
      <c r="A1685" s="65">
        <v>62718</v>
      </c>
      <c r="B1685" s="52" t="s">
        <v>5716</v>
      </c>
      <c r="C1685" s="52" t="s">
        <v>5717</v>
      </c>
      <c r="D1685" s="53" t="s">
        <v>5718</v>
      </c>
      <c r="E1685" s="52" t="s">
        <v>5505</v>
      </c>
      <c r="F1685" s="52" t="s">
        <v>5283</v>
      </c>
    </row>
    <row r="1686" spans="1:6" ht="12" x14ac:dyDescent="0.2">
      <c r="A1686" s="65">
        <v>62739</v>
      </c>
      <c r="B1686" s="52" t="s">
        <v>5719</v>
      </c>
      <c r="C1686" s="52" t="s">
        <v>5720</v>
      </c>
      <c r="D1686" s="53" t="s">
        <v>5721</v>
      </c>
      <c r="E1686" s="52" t="s">
        <v>5722</v>
      </c>
      <c r="F1686" s="52" t="s">
        <v>5283</v>
      </c>
    </row>
    <row r="1687" spans="1:6" ht="12" x14ac:dyDescent="0.2">
      <c r="A1687" s="65">
        <v>62743</v>
      </c>
      <c r="B1687" s="52" t="s">
        <v>5723</v>
      </c>
      <c r="C1687" s="52" t="s">
        <v>5724</v>
      </c>
      <c r="D1687" s="53" t="s">
        <v>5725</v>
      </c>
      <c r="E1687" s="52" t="s">
        <v>5378</v>
      </c>
      <c r="F1687" s="52" t="s">
        <v>5283</v>
      </c>
    </row>
    <row r="1688" spans="1:6" ht="12" x14ac:dyDescent="0.2">
      <c r="A1688" s="65">
        <v>62758</v>
      </c>
      <c r="B1688" s="52" t="s">
        <v>5726</v>
      </c>
      <c r="C1688" s="52" t="s">
        <v>5727</v>
      </c>
      <c r="D1688" s="53" t="s">
        <v>5728</v>
      </c>
      <c r="E1688" s="52" t="s">
        <v>5726</v>
      </c>
      <c r="F1688" s="52" t="s">
        <v>5201</v>
      </c>
    </row>
    <row r="1689" spans="1:6" ht="12" x14ac:dyDescent="0.2">
      <c r="A1689" s="65">
        <v>62788</v>
      </c>
      <c r="B1689" s="52" t="s">
        <v>5729</v>
      </c>
      <c r="C1689" s="52" t="s">
        <v>5730</v>
      </c>
      <c r="D1689" s="53" t="s">
        <v>5731</v>
      </c>
      <c r="E1689" s="52" t="s">
        <v>5732</v>
      </c>
      <c r="F1689" s="52" t="s">
        <v>5210</v>
      </c>
    </row>
    <row r="1690" spans="1:6" ht="12" x14ac:dyDescent="0.2">
      <c r="A1690" s="65">
        <v>62794</v>
      </c>
      <c r="B1690" s="52" t="s">
        <v>5733</v>
      </c>
      <c r="C1690" s="52" t="s">
        <v>5734</v>
      </c>
      <c r="D1690" s="53" t="s">
        <v>5735</v>
      </c>
      <c r="E1690" s="52" t="s">
        <v>5279</v>
      </c>
      <c r="F1690" s="52" t="s">
        <v>5279</v>
      </c>
    </row>
    <row r="1691" spans="1:6" ht="12" x14ac:dyDescent="0.2">
      <c r="A1691" s="65">
        <v>62798</v>
      </c>
      <c r="B1691" s="52" t="s">
        <v>5736</v>
      </c>
      <c r="C1691" s="52" t="s">
        <v>5737</v>
      </c>
      <c r="D1691" s="53" t="s">
        <v>5738</v>
      </c>
      <c r="E1691" s="52" t="s">
        <v>5385</v>
      </c>
      <c r="F1691" s="52" t="s">
        <v>5385</v>
      </c>
    </row>
    <row r="1692" spans="1:6" ht="12" x14ac:dyDescent="0.2">
      <c r="A1692" s="65">
        <v>62800</v>
      </c>
      <c r="B1692" s="52" t="s">
        <v>5237</v>
      </c>
      <c r="C1692" s="52" t="s">
        <v>5739</v>
      </c>
      <c r="D1692" s="53" t="s">
        <v>5740</v>
      </c>
      <c r="E1692" s="52" t="s">
        <v>5237</v>
      </c>
      <c r="F1692" s="52" t="s">
        <v>1564</v>
      </c>
    </row>
    <row r="1693" spans="1:6" ht="12" x14ac:dyDescent="0.2">
      <c r="A1693" s="65">
        <v>62804</v>
      </c>
      <c r="B1693" s="52" t="s">
        <v>5741</v>
      </c>
      <c r="C1693" s="52" t="s">
        <v>5742</v>
      </c>
      <c r="D1693" s="53" t="s">
        <v>5624</v>
      </c>
      <c r="E1693" s="52" t="s">
        <v>5399</v>
      </c>
      <c r="F1693" s="52" t="s">
        <v>1873</v>
      </c>
    </row>
    <row r="1694" spans="1:6" ht="12" x14ac:dyDescent="0.2">
      <c r="A1694" s="65">
        <v>62810</v>
      </c>
      <c r="B1694" s="52" t="s">
        <v>5389</v>
      </c>
      <c r="C1694" s="52" t="s">
        <v>5743</v>
      </c>
      <c r="D1694" s="53" t="s">
        <v>5744</v>
      </c>
      <c r="E1694" s="52" t="s">
        <v>5389</v>
      </c>
      <c r="F1694" s="52" t="s">
        <v>5210</v>
      </c>
    </row>
    <row r="1695" spans="1:6" ht="12" x14ac:dyDescent="0.2">
      <c r="A1695" s="65">
        <v>62814</v>
      </c>
      <c r="B1695" s="52" t="s">
        <v>5745</v>
      </c>
      <c r="C1695" s="52" t="s">
        <v>5746</v>
      </c>
      <c r="D1695" s="53" t="s">
        <v>5747</v>
      </c>
      <c r="E1695" s="52" t="s">
        <v>5267</v>
      </c>
      <c r="F1695" s="52" t="s">
        <v>5218</v>
      </c>
    </row>
    <row r="1696" spans="1:6" ht="12" x14ac:dyDescent="0.2">
      <c r="A1696" s="65">
        <v>62816</v>
      </c>
      <c r="B1696" s="52" t="s">
        <v>5748</v>
      </c>
      <c r="C1696" s="52" t="s">
        <v>5749</v>
      </c>
      <c r="D1696" s="53" t="s">
        <v>5750</v>
      </c>
      <c r="E1696" s="52" t="s">
        <v>5283</v>
      </c>
      <c r="F1696" s="52" t="s">
        <v>5283</v>
      </c>
    </row>
    <row r="1697" spans="1:6" ht="12" x14ac:dyDescent="0.2">
      <c r="A1697" s="65">
        <v>62854</v>
      </c>
      <c r="B1697" s="52" t="s">
        <v>5751</v>
      </c>
      <c r="C1697" s="52" t="s">
        <v>5752</v>
      </c>
      <c r="D1697" s="53" t="s">
        <v>5753</v>
      </c>
      <c r="E1697" s="52" t="s">
        <v>5600</v>
      </c>
      <c r="F1697" s="52" t="s">
        <v>5600</v>
      </c>
    </row>
    <row r="1698" spans="1:6" ht="12" x14ac:dyDescent="0.2">
      <c r="A1698" s="65">
        <v>62857</v>
      </c>
      <c r="B1698" s="52" t="s">
        <v>5754</v>
      </c>
      <c r="C1698" s="52" t="s">
        <v>5755</v>
      </c>
      <c r="D1698" s="53" t="s">
        <v>5756</v>
      </c>
      <c r="E1698" s="52" t="s">
        <v>5757</v>
      </c>
      <c r="F1698" s="52" t="s">
        <v>5279</v>
      </c>
    </row>
    <row r="1699" spans="1:6" ht="12" x14ac:dyDescent="0.2">
      <c r="A1699" s="65">
        <v>62866</v>
      </c>
      <c r="B1699" s="52" t="s">
        <v>5758</v>
      </c>
      <c r="C1699" s="52" t="s">
        <v>5759</v>
      </c>
      <c r="D1699" s="53" t="s">
        <v>5760</v>
      </c>
      <c r="E1699" s="52" t="s">
        <v>5200</v>
      </c>
      <c r="F1699" s="52" t="s">
        <v>5201</v>
      </c>
    </row>
    <row r="1700" spans="1:6" ht="12" x14ac:dyDescent="0.2">
      <c r="A1700" s="65">
        <v>62882</v>
      </c>
      <c r="B1700" s="52" t="s">
        <v>5761</v>
      </c>
      <c r="C1700" s="52" t="s">
        <v>5762</v>
      </c>
      <c r="D1700" s="53" t="s">
        <v>5763</v>
      </c>
      <c r="E1700" s="52" t="s">
        <v>5278</v>
      </c>
      <c r="F1700" s="52" t="s">
        <v>5279</v>
      </c>
    </row>
    <row r="1701" spans="1:6" ht="12" x14ac:dyDescent="0.2">
      <c r="A1701" s="65">
        <v>62952</v>
      </c>
      <c r="B1701" s="52" t="s">
        <v>5764</v>
      </c>
      <c r="C1701" s="52" t="s">
        <v>5765</v>
      </c>
      <c r="D1701" s="53" t="s">
        <v>5766</v>
      </c>
      <c r="E1701" s="52" t="s">
        <v>5767</v>
      </c>
      <c r="F1701" s="52" t="s">
        <v>5201</v>
      </c>
    </row>
    <row r="1702" spans="1:6" ht="12" x14ac:dyDescent="0.2">
      <c r="A1702" s="65">
        <v>63027</v>
      </c>
      <c r="B1702" s="52" t="s">
        <v>5768</v>
      </c>
      <c r="C1702" s="52" t="s">
        <v>5769</v>
      </c>
      <c r="D1702" s="53" t="s">
        <v>5770</v>
      </c>
      <c r="E1702" s="52" t="s">
        <v>5409</v>
      </c>
      <c r="F1702" s="52" t="s">
        <v>5201</v>
      </c>
    </row>
    <row r="1703" spans="1:6" ht="12" x14ac:dyDescent="0.2">
      <c r="A1703" s="65">
        <v>63136</v>
      </c>
      <c r="B1703" s="52" t="s">
        <v>5771</v>
      </c>
      <c r="C1703" s="52" t="s">
        <v>5772</v>
      </c>
      <c r="D1703" s="53" t="s">
        <v>5773</v>
      </c>
      <c r="E1703" s="52" t="s">
        <v>5353</v>
      </c>
      <c r="F1703" s="52" t="s">
        <v>5353</v>
      </c>
    </row>
    <row r="1704" spans="1:6" ht="12" x14ac:dyDescent="0.2">
      <c r="A1704" s="65">
        <v>63137</v>
      </c>
      <c r="B1704" s="52" t="s">
        <v>5774</v>
      </c>
      <c r="C1704" s="52" t="s">
        <v>5772</v>
      </c>
      <c r="D1704" s="53" t="s">
        <v>5773</v>
      </c>
      <c r="E1704" s="52" t="s">
        <v>5353</v>
      </c>
      <c r="F1704" s="52" t="s">
        <v>5353</v>
      </c>
    </row>
    <row r="1705" spans="1:6" ht="12" x14ac:dyDescent="0.2">
      <c r="A1705" s="65">
        <v>63296</v>
      </c>
      <c r="B1705" s="52" t="s">
        <v>5775</v>
      </c>
      <c r="C1705" s="52" t="s">
        <v>5776</v>
      </c>
      <c r="D1705" s="53" t="s">
        <v>5777</v>
      </c>
      <c r="E1705" s="52" t="s">
        <v>5775</v>
      </c>
      <c r="F1705" s="52" t="s">
        <v>5530</v>
      </c>
    </row>
    <row r="1706" spans="1:6" ht="12" x14ac:dyDescent="0.2">
      <c r="A1706" s="65">
        <v>63311</v>
      </c>
      <c r="B1706" s="52" t="s">
        <v>5778</v>
      </c>
      <c r="C1706" s="52" t="s">
        <v>5779</v>
      </c>
      <c r="D1706" s="53" t="s">
        <v>5780</v>
      </c>
      <c r="E1706" s="52" t="s">
        <v>5781</v>
      </c>
      <c r="F1706" s="52" t="s">
        <v>5279</v>
      </c>
    </row>
    <row r="1707" spans="1:6" ht="12" x14ac:dyDescent="0.2">
      <c r="A1707" s="65">
        <v>63312</v>
      </c>
      <c r="B1707" s="52" t="s">
        <v>5782</v>
      </c>
      <c r="C1707" s="52" t="s">
        <v>5779</v>
      </c>
      <c r="D1707" s="53" t="s">
        <v>5780</v>
      </c>
      <c r="E1707" s="52" t="s">
        <v>5781</v>
      </c>
      <c r="F1707" s="52" t="s">
        <v>5279</v>
      </c>
    </row>
    <row r="1708" spans="1:6" ht="12" x14ac:dyDescent="0.2">
      <c r="A1708" s="65">
        <v>63314</v>
      </c>
      <c r="B1708" s="52" t="s">
        <v>5783</v>
      </c>
      <c r="C1708" s="52" t="s">
        <v>5784</v>
      </c>
      <c r="D1708" s="53" t="s">
        <v>5785</v>
      </c>
      <c r="E1708" s="52" t="s">
        <v>5783</v>
      </c>
      <c r="F1708" s="52" t="s">
        <v>5279</v>
      </c>
    </row>
    <row r="1709" spans="1:6" ht="12" x14ac:dyDescent="0.2">
      <c r="A1709" s="65">
        <v>63321</v>
      </c>
      <c r="B1709" s="52" t="s">
        <v>5786</v>
      </c>
      <c r="C1709" s="52" t="s">
        <v>5787</v>
      </c>
      <c r="D1709" s="53" t="s">
        <v>5788</v>
      </c>
      <c r="E1709" s="52" t="s">
        <v>5201</v>
      </c>
      <c r="F1709" s="52" t="s">
        <v>5201</v>
      </c>
    </row>
    <row r="1710" spans="1:6" ht="12" x14ac:dyDescent="0.2">
      <c r="A1710" s="65">
        <v>63322</v>
      </c>
      <c r="B1710" s="52" t="s">
        <v>5789</v>
      </c>
      <c r="C1710" s="52" t="s">
        <v>5790</v>
      </c>
      <c r="D1710" s="53" t="s">
        <v>5791</v>
      </c>
      <c r="E1710" s="52" t="s">
        <v>5789</v>
      </c>
      <c r="F1710" s="52" t="s">
        <v>5201</v>
      </c>
    </row>
    <row r="1711" spans="1:6" ht="12" x14ac:dyDescent="0.2">
      <c r="A1711" s="65">
        <v>63330</v>
      </c>
      <c r="B1711" s="52" t="s">
        <v>5792</v>
      </c>
      <c r="C1711" s="52" t="s">
        <v>5793</v>
      </c>
      <c r="D1711" s="53" t="s">
        <v>5794</v>
      </c>
      <c r="E1711" s="52" t="s">
        <v>5385</v>
      </c>
      <c r="F1711" s="52" t="s">
        <v>5385</v>
      </c>
    </row>
    <row r="1712" spans="1:6" ht="12" x14ac:dyDescent="0.2">
      <c r="A1712" s="65">
        <v>63331</v>
      </c>
      <c r="B1712" s="52" t="s">
        <v>5795</v>
      </c>
      <c r="C1712" s="52" t="s">
        <v>5796</v>
      </c>
      <c r="D1712" s="53" t="s">
        <v>5797</v>
      </c>
      <c r="E1712" s="52" t="s">
        <v>5590</v>
      </c>
      <c r="F1712" s="52" t="s">
        <v>1564</v>
      </c>
    </row>
    <row r="1713" spans="1:6" ht="12" x14ac:dyDescent="0.2">
      <c r="A1713" s="65">
        <v>63332</v>
      </c>
      <c r="B1713" s="52" t="s">
        <v>5798</v>
      </c>
      <c r="C1713" s="52" t="s">
        <v>5799</v>
      </c>
      <c r="D1713" s="53" t="s">
        <v>5800</v>
      </c>
      <c r="E1713" s="52" t="s">
        <v>5801</v>
      </c>
      <c r="F1713" s="52" t="s">
        <v>5600</v>
      </c>
    </row>
    <row r="1714" spans="1:6" ht="12" x14ac:dyDescent="0.2">
      <c r="A1714" s="65">
        <v>63333</v>
      </c>
      <c r="B1714" s="52" t="s">
        <v>5802</v>
      </c>
      <c r="C1714" s="52" t="s">
        <v>5803</v>
      </c>
      <c r="D1714" s="53" t="s">
        <v>5804</v>
      </c>
      <c r="E1714" s="52" t="s">
        <v>5353</v>
      </c>
      <c r="F1714" s="52" t="s">
        <v>5353</v>
      </c>
    </row>
    <row r="1715" spans="1:6" ht="12" x14ac:dyDescent="0.2">
      <c r="A1715" s="65">
        <v>63334</v>
      </c>
      <c r="B1715" s="52" t="s">
        <v>5805</v>
      </c>
      <c r="C1715" s="52" t="s">
        <v>5806</v>
      </c>
      <c r="D1715" s="53" t="s">
        <v>5807</v>
      </c>
      <c r="E1715" s="52" t="s">
        <v>5353</v>
      </c>
      <c r="F1715" s="52" t="s">
        <v>5353</v>
      </c>
    </row>
    <row r="1716" spans="1:6" ht="12" x14ac:dyDescent="0.2">
      <c r="A1716" s="65">
        <v>63336</v>
      </c>
      <c r="B1716" s="52" t="s">
        <v>5808</v>
      </c>
      <c r="C1716" s="52" t="s">
        <v>5809</v>
      </c>
      <c r="D1716" s="53" t="s">
        <v>5810</v>
      </c>
      <c r="E1716" s="52" t="s">
        <v>1873</v>
      </c>
      <c r="F1716" s="52" t="s">
        <v>1873</v>
      </c>
    </row>
    <row r="1717" spans="1:6" ht="12" x14ac:dyDescent="0.2">
      <c r="A1717" s="65">
        <v>63337</v>
      </c>
      <c r="B1717" s="52" t="s">
        <v>5811</v>
      </c>
      <c r="C1717" s="52" t="s">
        <v>5812</v>
      </c>
      <c r="D1717" s="53" t="s">
        <v>5813</v>
      </c>
      <c r="E1717" s="52" t="s">
        <v>5399</v>
      </c>
      <c r="F1717" s="52" t="s">
        <v>1873</v>
      </c>
    </row>
    <row r="1718" spans="1:6" ht="12" x14ac:dyDescent="0.2">
      <c r="A1718" s="65">
        <v>63341</v>
      </c>
      <c r="B1718" s="52" t="s">
        <v>5814</v>
      </c>
      <c r="C1718" s="52" t="s">
        <v>5815</v>
      </c>
      <c r="D1718" s="53" t="s">
        <v>5816</v>
      </c>
      <c r="E1718" s="52" t="s">
        <v>5501</v>
      </c>
      <c r="F1718" s="52" t="s">
        <v>1873</v>
      </c>
    </row>
    <row r="1719" spans="1:6" ht="12" x14ac:dyDescent="0.2">
      <c r="A1719" s="65">
        <v>63342</v>
      </c>
      <c r="B1719" s="52" t="s">
        <v>5817</v>
      </c>
      <c r="C1719" s="52" t="s">
        <v>5818</v>
      </c>
      <c r="D1719" s="53" t="s">
        <v>5819</v>
      </c>
      <c r="E1719" s="52" t="s">
        <v>5817</v>
      </c>
      <c r="F1719" s="52" t="s">
        <v>1873</v>
      </c>
    </row>
    <row r="1720" spans="1:6" ht="12" x14ac:dyDescent="0.2">
      <c r="A1720" s="65">
        <v>63344</v>
      </c>
      <c r="B1720" s="52" t="s">
        <v>5820</v>
      </c>
      <c r="C1720" s="52" t="s">
        <v>5821</v>
      </c>
      <c r="D1720" s="53" t="s">
        <v>5822</v>
      </c>
      <c r="E1720" s="52" t="s">
        <v>5823</v>
      </c>
      <c r="F1720" s="52" t="s">
        <v>1873</v>
      </c>
    </row>
    <row r="1721" spans="1:6" ht="12" x14ac:dyDescent="0.2">
      <c r="A1721" s="65">
        <v>63346</v>
      </c>
      <c r="B1721" s="52" t="s">
        <v>5824</v>
      </c>
      <c r="C1721" s="52" t="s">
        <v>5825</v>
      </c>
      <c r="D1721" s="53" t="s">
        <v>5826</v>
      </c>
      <c r="E1721" s="52" t="s">
        <v>5344</v>
      </c>
      <c r="F1721" s="52" t="s">
        <v>5210</v>
      </c>
    </row>
    <row r="1722" spans="1:6" ht="12" x14ac:dyDescent="0.2">
      <c r="A1722" s="65">
        <v>63347</v>
      </c>
      <c r="B1722" s="52" t="s">
        <v>5827</v>
      </c>
      <c r="C1722" s="52" t="s">
        <v>5828</v>
      </c>
      <c r="D1722" s="53" t="s">
        <v>5829</v>
      </c>
      <c r="E1722" s="52" t="s">
        <v>5318</v>
      </c>
      <c r="F1722" s="52" t="s">
        <v>5210</v>
      </c>
    </row>
    <row r="1723" spans="1:6" ht="12" x14ac:dyDescent="0.2">
      <c r="A1723" s="65">
        <v>63349</v>
      </c>
      <c r="B1723" s="52" t="s">
        <v>5830</v>
      </c>
      <c r="C1723" s="52" t="s">
        <v>5831</v>
      </c>
      <c r="D1723" s="53" t="s">
        <v>5832</v>
      </c>
      <c r="E1723" s="52" t="s">
        <v>5389</v>
      </c>
      <c r="F1723" s="52" t="s">
        <v>5210</v>
      </c>
    </row>
    <row r="1724" spans="1:6" ht="12" x14ac:dyDescent="0.2">
      <c r="A1724" s="65">
        <v>63350</v>
      </c>
      <c r="B1724" s="52" t="s">
        <v>5214</v>
      </c>
      <c r="C1724" s="52" t="s">
        <v>5833</v>
      </c>
      <c r="D1724" s="53" t="s">
        <v>5834</v>
      </c>
      <c r="E1724" s="52" t="s">
        <v>5214</v>
      </c>
      <c r="F1724" s="52" t="s">
        <v>5210</v>
      </c>
    </row>
    <row r="1725" spans="1:6" ht="12" x14ac:dyDescent="0.2">
      <c r="A1725" s="65">
        <v>63355</v>
      </c>
      <c r="B1725" s="52" t="s">
        <v>5835</v>
      </c>
      <c r="C1725" s="52" t="s">
        <v>5836</v>
      </c>
      <c r="D1725" s="53" t="s">
        <v>5837</v>
      </c>
      <c r="E1725" s="52" t="s">
        <v>5241</v>
      </c>
      <c r="F1725" s="52" t="s">
        <v>5233</v>
      </c>
    </row>
    <row r="1726" spans="1:6" ht="12" x14ac:dyDescent="0.2">
      <c r="A1726" s="65">
        <v>63356</v>
      </c>
      <c r="B1726" s="52" t="s">
        <v>5838</v>
      </c>
      <c r="C1726" s="52" t="s">
        <v>5839</v>
      </c>
      <c r="D1726" s="53" t="s">
        <v>5840</v>
      </c>
      <c r="E1726" s="52" t="s">
        <v>5215</v>
      </c>
      <c r="F1726" s="52" t="s">
        <v>5218</v>
      </c>
    </row>
    <row r="1727" spans="1:6" ht="12" x14ac:dyDescent="0.2">
      <c r="A1727" s="65">
        <v>63357</v>
      </c>
      <c r="B1727" s="52" t="s">
        <v>5359</v>
      </c>
      <c r="C1727" s="52" t="s">
        <v>5841</v>
      </c>
      <c r="D1727" s="53" t="s">
        <v>5842</v>
      </c>
      <c r="E1727" s="52" t="s">
        <v>5359</v>
      </c>
      <c r="F1727" s="52" t="s">
        <v>5218</v>
      </c>
    </row>
    <row r="1728" spans="1:6" ht="12" x14ac:dyDescent="0.2">
      <c r="A1728" s="65">
        <v>63370</v>
      </c>
      <c r="B1728" s="52" t="s">
        <v>5843</v>
      </c>
      <c r="C1728" s="52" t="s">
        <v>5844</v>
      </c>
      <c r="D1728" s="53" t="s">
        <v>5845</v>
      </c>
      <c r="E1728" s="52" t="s">
        <v>5846</v>
      </c>
      <c r="F1728" s="52" t="s">
        <v>5201</v>
      </c>
    </row>
    <row r="1729" spans="1:6" ht="12" x14ac:dyDescent="0.2">
      <c r="A1729" s="65">
        <v>63371</v>
      </c>
      <c r="B1729" s="52" t="s">
        <v>5847</v>
      </c>
      <c r="C1729" s="52" t="s">
        <v>5844</v>
      </c>
      <c r="D1729" s="53" t="s">
        <v>5845</v>
      </c>
      <c r="E1729" s="52" t="s">
        <v>5846</v>
      </c>
      <c r="F1729" s="52" t="s">
        <v>5201</v>
      </c>
    </row>
    <row r="1730" spans="1:6" ht="12" x14ac:dyDescent="0.2">
      <c r="A1730" s="65">
        <v>63375</v>
      </c>
      <c r="B1730" s="52" t="s">
        <v>5848</v>
      </c>
      <c r="C1730" s="52" t="s">
        <v>5849</v>
      </c>
      <c r="D1730" s="53" t="s">
        <v>5850</v>
      </c>
      <c r="E1730" s="52" t="s">
        <v>5851</v>
      </c>
      <c r="F1730" s="52" t="s">
        <v>5334</v>
      </c>
    </row>
    <row r="1731" spans="1:6" ht="12" x14ac:dyDescent="0.2">
      <c r="A1731" s="65">
        <v>63376</v>
      </c>
      <c r="B1731" s="52" t="s">
        <v>5852</v>
      </c>
      <c r="C1731" s="52" t="s">
        <v>5853</v>
      </c>
      <c r="D1731" s="53" t="s">
        <v>5850</v>
      </c>
      <c r="E1731" s="52" t="s">
        <v>5851</v>
      </c>
      <c r="F1731" s="52" t="s">
        <v>5334</v>
      </c>
    </row>
    <row r="1732" spans="1:6" ht="12" x14ac:dyDescent="0.2">
      <c r="A1732" s="65">
        <v>63395</v>
      </c>
      <c r="B1732" s="52" t="s">
        <v>5854</v>
      </c>
      <c r="C1732" s="52" t="s">
        <v>5855</v>
      </c>
      <c r="D1732" s="53" t="s">
        <v>5856</v>
      </c>
      <c r="E1732" s="52" t="s">
        <v>5399</v>
      </c>
      <c r="F1732" s="52" t="s">
        <v>1873</v>
      </c>
    </row>
    <row r="1733" spans="1:6" ht="12" x14ac:dyDescent="0.2">
      <c r="A1733" s="65">
        <v>63422</v>
      </c>
      <c r="B1733" s="52" t="s">
        <v>1564</v>
      </c>
      <c r="C1733" s="52" t="s">
        <v>5857</v>
      </c>
      <c r="D1733" s="53" t="s">
        <v>5858</v>
      </c>
      <c r="E1733" s="52" t="s">
        <v>1564</v>
      </c>
      <c r="F1733" s="52" t="s">
        <v>1564</v>
      </c>
    </row>
    <row r="1734" spans="1:6" ht="12" x14ac:dyDescent="0.2">
      <c r="A1734" s="65">
        <v>63423</v>
      </c>
      <c r="B1734" s="52" t="s">
        <v>5859</v>
      </c>
      <c r="C1734" s="52" t="s">
        <v>5860</v>
      </c>
      <c r="D1734" s="53" t="s">
        <v>5861</v>
      </c>
      <c r="E1734" s="52" t="s">
        <v>5862</v>
      </c>
      <c r="F1734" s="52" t="s">
        <v>5233</v>
      </c>
    </row>
    <row r="1735" spans="1:6" ht="12" x14ac:dyDescent="0.2">
      <c r="A1735" s="65">
        <v>63424</v>
      </c>
      <c r="B1735" s="52" t="s">
        <v>5863</v>
      </c>
      <c r="C1735" s="52" t="s">
        <v>5860</v>
      </c>
      <c r="D1735" s="53" t="s">
        <v>5861</v>
      </c>
      <c r="E1735" s="52" t="s">
        <v>5862</v>
      </c>
      <c r="F1735" s="52" t="s">
        <v>5233</v>
      </c>
    </row>
    <row r="1736" spans="1:6" ht="12" x14ac:dyDescent="0.2">
      <c r="A1736" s="65">
        <v>63425</v>
      </c>
      <c r="B1736" s="52" t="s">
        <v>5864</v>
      </c>
      <c r="C1736" s="52" t="s">
        <v>5865</v>
      </c>
      <c r="D1736" s="53" t="s">
        <v>5866</v>
      </c>
      <c r="E1736" s="52" t="s">
        <v>5201</v>
      </c>
      <c r="F1736" s="52" t="s">
        <v>5201</v>
      </c>
    </row>
    <row r="1737" spans="1:6" ht="12" x14ac:dyDescent="0.2">
      <c r="A1737" s="65">
        <v>63428</v>
      </c>
      <c r="B1737" s="52" t="s">
        <v>5732</v>
      </c>
      <c r="C1737" s="52" t="s">
        <v>5867</v>
      </c>
      <c r="D1737" s="53" t="s">
        <v>5868</v>
      </c>
      <c r="E1737" s="52" t="s">
        <v>5732</v>
      </c>
      <c r="F1737" s="52" t="s">
        <v>5210</v>
      </c>
    </row>
    <row r="1738" spans="1:6" ht="12" x14ac:dyDescent="0.2">
      <c r="A1738" s="65">
        <v>63431</v>
      </c>
      <c r="B1738" s="52" t="s">
        <v>5869</v>
      </c>
      <c r="C1738" s="52" t="s">
        <v>5870</v>
      </c>
      <c r="D1738" s="53" t="s">
        <v>5871</v>
      </c>
      <c r="E1738" s="52" t="s">
        <v>5872</v>
      </c>
      <c r="F1738" s="52" t="s">
        <v>5283</v>
      </c>
    </row>
    <row r="1739" spans="1:6" ht="12" x14ac:dyDescent="0.2">
      <c r="A1739" s="65">
        <v>63438</v>
      </c>
      <c r="B1739" s="52" t="s">
        <v>5505</v>
      </c>
      <c r="C1739" s="52" t="s">
        <v>5873</v>
      </c>
      <c r="D1739" s="53" t="s">
        <v>5874</v>
      </c>
      <c r="E1739" s="52" t="s">
        <v>5505</v>
      </c>
      <c r="F1739" s="52" t="s">
        <v>5283</v>
      </c>
    </row>
    <row r="1740" spans="1:6" ht="12" x14ac:dyDescent="0.2">
      <c r="A1740" s="65">
        <v>63523</v>
      </c>
      <c r="B1740" s="52" t="s">
        <v>5875</v>
      </c>
      <c r="C1740" s="52" t="s">
        <v>5876</v>
      </c>
      <c r="D1740" s="53" t="s">
        <v>5877</v>
      </c>
      <c r="E1740" s="52" t="s">
        <v>5214</v>
      </c>
      <c r="F1740" s="52" t="s">
        <v>5210</v>
      </c>
    </row>
    <row r="1741" spans="1:6" ht="12" x14ac:dyDescent="0.2">
      <c r="A1741" s="65">
        <v>63531</v>
      </c>
      <c r="B1741" s="52" t="s">
        <v>5878</v>
      </c>
      <c r="C1741" s="52" t="s">
        <v>5879</v>
      </c>
      <c r="D1741" s="53" t="s">
        <v>5880</v>
      </c>
      <c r="E1741" s="52" t="s">
        <v>5521</v>
      </c>
      <c r="F1741" s="52" t="s">
        <v>5201</v>
      </c>
    </row>
    <row r="1742" spans="1:6" ht="12" x14ac:dyDescent="0.2">
      <c r="A1742" s="65">
        <v>63537</v>
      </c>
      <c r="B1742" s="52" t="s">
        <v>5881</v>
      </c>
      <c r="C1742" s="52" t="s">
        <v>5882</v>
      </c>
      <c r="D1742" s="53" t="s">
        <v>5883</v>
      </c>
      <c r="E1742" s="52" t="s">
        <v>5460</v>
      </c>
      <c r="F1742" s="52" t="s">
        <v>5460</v>
      </c>
    </row>
    <row r="1743" spans="1:6" ht="12" x14ac:dyDescent="0.2">
      <c r="A1743" s="65">
        <v>63538</v>
      </c>
      <c r="B1743" s="52" t="s">
        <v>5884</v>
      </c>
      <c r="C1743" s="52" t="s">
        <v>5882</v>
      </c>
      <c r="D1743" s="53" t="s">
        <v>5883</v>
      </c>
      <c r="E1743" s="52" t="s">
        <v>5460</v>
      </c>
      <c r="F1743" s="52" t="s">
        <v>5460</v>
      </c>
    </row>
    <row r="1744" spans="1:6" ht="12" x14ac:dyDescent="0.2">
      <c r="A1744" s="65">
        <v>63539</v>
      </c>
      <c r="B1744" s="52" t="s">
        <v>5885</v>
      </c>
      <c r="C1744" s="52" t="s">
        <v>5886</v>
      </c>
      <c r="D1744" s="53" t="s">
        <v>5887</v>
      </c>
      <c r="E1744" s="52" t="s">
        <v>5302</v>
      </c>
      <c r="F1744" s="52" t="s">
        <v>1564</v>
      </c>
    </row>
    <row r="1745" spans="1:6" ht="12" x14ac:dyDescent="0.2">
      <c r="A1745" s="65">
        <v>63540</v>
      </c>
      <c r="B1745" s="52" t="s">
        <v>5888</v>
      </c>
      <c r="C1745" s="52" t="s">
        <v>5886</v>
      </c>
      <c r="D1745" s="53" t="s">
        <v>5887</v>
      </c>
      <c r="E1745" s="52" t="s">
        <v>5302</v>
      </c>
      <c r="F1745" s="52" t="s">
        <v>1564</v>
      </c>
    </row>
    <row r="1746" spans="1:6" ht="12" x14ac:dyDescent="0.2">
      <c r="A1746" s="65">
        <v>63541</v>
      </c>
      <c r="B1746" s="52" t="s">
        <v>5889</v>
      </c>
      <c r="C1746" s="52" t="s">
        <v>5890</v>
      </c>
      <c r="D1746" s="53" t="s">
        <v>5891</v>
      </c>
      <c r="E1746" s="52" t="s">
        <v>5530</v>
      </c>
      <c r="F1746" s="52" t="s">
        <v>5530</v>
      </c>
    </row>
    <row r="1747" spans="1:6" ht="12" x14ac:dyDescent="0.2">
      <c r="A1747" s="65">
        <v>63542</v>
      </c>
      <c r="B1747" s="52" t="s">
        <v>5892</v>
      </c>
      <c r="C1747" s="52" t="s">
        <v>5890</v>
      </c>
      <c r="D1747" s="53" t="s">
        <v>5891</v>
      </c>
      <c r="E1747" s="52" t="s">
        <v>5530</v>
      </c>
      <c r="F1747" s="52" t="s">
        <v>5530</v>
      </c>
    </row>
    <row r="1748" spans="1:6" ht="12" x14ac:dyDescent="0.2">
      <c r="A1748" s="65">
        <v>63553</v>
      </c>
      <c r="B1748" s="52" t="s">
        <v>5893</v>
      </c>
      <c r="C1748" s="52" t="s">
        <v>5894</v>
      </c>
      <c r="D1748" s="53" t="s">
        <v>5895</v>
      </c>
      <c r="E1748" s="52" t="s">
        <v>1564</v>
      </c>
      <c r="F1748" s="52" t="s">
        <v>1564</v>
      </c>
    </row>
    <row r="1749" spans="1:6" ht="12" x14ac:dyDescent="0.2">
      <c r="A1749" s="65">
        <v>63559</v>
      </c>
      <c r="B1749" s="52" t="s">
        <v>5896</v>
      </c>
      <c r="C1749" s="52" t="s">
        <v>5897</v>
      </c>
      <c r="D1749" s="53" t="s">
        <v>5898</v>
      </c>
      <c r="E1749" s="52" t="s">
        <v>5205</v>
      </c>
      <c r="F1749" s="52" t="s">
        <v>1564</v>
      </c>
    </row>
    <row r="1750" spans="1:6" ht="12" x14ac:dyDescent="0.2">
      <c r="A1750" s="65">
        <v>63560</v>
      </c>
      <c r="B1750" s="52" t="s">
        <v>5899</v>
      </c>
      <c r="C1750" s="52" t="s">
        <v>5897</v>
      </c>
      <c r="D1750" s="53" t="s">
        <v>5898</v>
      </c>
      <c r="E1750" s="52" t="s">
        <v>5205</v>
      </c>
      <c r="F1750" s="52" t="s">
        <v>1564</v>
      </c>
    </row>
    <row r="1751" spans="1:6" ht="12" x14ac:dyDescent="0.2">
      <c r="A1751" s="65">
        <v>63566</v>
      </c>
      <c r="B1751" s="52" t="s">
        <v>5900</v>
      </c>
      <c r="C1751" s="52" t="s">
        <v>5901</v>
      </c>
      <c r="D1751" s="53" t="s">
        <v>5902</v>
      </c>
      <c r="E1751" s="52" t="s">
        <v>5903</v>
      </c>
      <c r="F1751" s="52" t="s">
        <v>5460</v>
      </c>
    </row>
    <row r="1752" spans="1:6" ht="12" x14ac:dyDescent="0.2">
      <c r="A1752" s="65">
        <v>63567</v>
      </c>
      <c r="B1752" s="52" t="s">
        <v>5904</v>
      </c>
      <c r="C1752" s="52" t="s">
        <v>5901</v>
      </c>
      <c r="D1752" s="53" t="s">
        <v>5902</v>
      </c>
      <c r="E1752" s="52" t="s">
        <v>5903</v>
      </c>
      <c r="F1752" s="52" t="s">
        <v>5460</v>
      </c>
    </row>
    <row r="1753" spans="1:6" ht="12" x14ac:dyDescent="0.2">
      <c r="A1753" s="65">
        <v>63583</v>
      </c>
      <c r="B1753" s="52" t="s">
        <v>5905</v>
      </c>
      <c r="C1753" s="52" t="s">
        <v>5906</v>
      </c>
      <c r="D1753" s="53" t="s">
        <v>5907</v>
      </c>
      <c r="E1753" s="52" t="s">
        <v>5908</v>
      </c>
      <c r="F1753" s="52" t="s">
        <v>5385</v>
      </c>
    </row>
    <row r="1754" spans="1:6" ht="12" x14ac:dyDescent="0.2">
      <c r="A1754" s="65">
        <v>63584</v>
      </c>
      <c r="B1754" s="52" t="s">
        <v>5909</v>
      </c>
      <c r="C1754" s="52" t="s">
        <v>5906</v>
      </c>
      <c r="D1754" s="53" t="s">
        <v>5907</v>
      </c>
      <c r="E1754" s="52" t="s">
        <v>5908</v>
      </c>
      <c r="F1754" s="52" t="s">
        <v>5385</v>
      </c>
    </row>
    <row r="1755" spans="1:6" ht="12" x14ac:dyDescent="0.2">
      <c r="A1755" s="65">
        <v>63588</v>
      </c>
      <c r="B1755" s="52" t="s">
        <v>5910</v>
      </c>
      <c r="C1755" s="52" t="s">
        <v>5911</v>
      </c>
      <c r="D1755" s="53" t="s">
        <v>5912</v>
      </c>
      <c r="E1755" s="52" t="s">
        <v>5913</v>
      </c>
      <c r="F1755" s="52" t="s">
        <v>5210</v>
      </c>
    </row>
    <row r="1756" spans="1:6" ht="12" x14ac:dyDescent="0.2">
      <c r="A1756" s="65">
        <v>63589</v>
      </c>
      <c r="B1756" s="52" t="s">
        <v>5914</v>
      </c>
      <c r="C1756" s="52" t="s">
        <v>5915</v>
      </c>
      <c r="D1756" s="53" t="s">
        <v>5916</v>
      </c>
      <c r="E1756" s="52" t="s">
        <v>5283</v>
      </c>
      <c r="F1756" s="52" t="s">
        <v>5283</v>
      </c>
    </row>
    <row r="1757" spans="1:6" ht="12" x14ac:dyDescent="0.2">
      <c r="A1757" s="65">
        <v>63593</v>
      </c>
      <c r="B1757" s="52" t="s">
        <v>5767</v>
      </c>
      <c r="C1757" s="52" t="s">
        <v>5917</v>
      </c>
      <c r="D1757" s="53" t="s">
        <v>5918</v>
      </c>
      <c r="E1757" s="52" t="s">
        <v>5767</v>
      </c>
      <c r="F1757" s="52" t="s">
        <v>5201</v>
      </c>
    </row>
    <row r="1758" spans="1:6" ht="12" x14ac:dyDescent="0.2">
      <c r="A1758" s="65">
        <v>63594</v>
      </c>
      <c r="B1758" s="52" t="s">
        <v>5919</v>
      </c>
      <c r="C1758" s="52" t="s">
        <v>5920</v>
      </c>
      <c r="D1758" s="53" t="s">
        <v>5921</v>
      </c>
      <c r="E1758" s="52" t="s">
        <v>5399</v>
      </c>
      <c r="F1758" s="52" t="s">
        <v>1873</v>
      </c>
    </row>
    <row r="1759" spans="1:6" ht="12" x14ac:dyDescent="0.2">
      <c r="A1759" s="65">
        <v>63595</v>
      </c>
      <c r="B1759" s="52" t="s">
        <v>5324</v>
      </c>
      <c r="C1759" s="52" t="s">
        <v>5922</v>
      </c>
      <c r="D1759" s="53" t="s">
        <v>5923</v>
      </c>
      <c r="E1759" s="52" t="s">
        <v>5324</v>
      </c>
      <c r="F1759" s="52" t="s">
        <v>5210</v>
      </c>
    </row>
    <row r="1760" spans="1:6" ht="12" x14ac:dyDescent="0.2">
      <c r="A1760" s="65">
        <v>63596</v>
      </c>
      <c r="B1760" s="52" t="s">
        <v>5924</v>
      </c>
      <c r="C1760" s="52" t="s">
        <v>5925</v>
      </c>
      <c r="D1760" s="53" t="s">
        <v>5926</v>
      </c>
      <c r="E1760" s="52" t="s">
        <v>5652</v>
      </c>
      <c r="F1760" s="52" t="s">
        <v>1873</v>
      </c>
    </row>
    <row r="1761" spans="1:6" ht="12" x14ac:dyDescent="0.2">
      <c r="A1761" s="65">
        <v>63604</v>
      </c>
      <c r="B1761" s="52" t="s">
        <v>5927</v>
      </c>
      <c r="C1761" s="52" t="s">
        <v>5928</v>
      </c>
      <c r="D1761" s="53" t="s">
        <v>5929</v>
      </c>
      <c r="E1761" s="52" t="s">
        <v>1873</v>
      </c>
      <c r="F1761" s="52" t="s">
        <v>1873</v>
      </c>
    </row>
    <row r="1762" spans="1:6" ht="12" x14ac:dyDescent="0.2">
      <c r="A1762" s="65">
        <v>63621</v>
      </c>
      <c r="B1762" s="52" t="s">
        <v>5930</v>
      </c>
      <c r="C1762" s="52" t="s">
        <v>5931</v>
      </c>
      <c r="D1762" s="53" t="s">
        <v>5932</v>
      </c>
      <c r="E1762" s="52" t="s">
        <v>5933</v>
      </c>
      <c r="F1762" s="52" t="s">
        <v>5279</v>
      </c>
    </row>
    <row r="1763" spans="1:6" ht="12" x14ac:dyDescent="0.2">
      <c r="A1763" s="65">
        <v>63622</v>
      </c>
      <c r="B1763" s="52" t="s">
        <v>5934</v>
      </c>
      <c r="C1763" s="52" t="s">
        <v>5935</v>
      </c>
      <c r="D1763" s="53" t="s">
        <v>5936</v>
      </c>
      <c r="E1763" s="52" t="s">
        <v>1873</v>
      </c>
      <c r="F1763" s="52" t="s">
        <v>1873</v>
      </c>
    </row>
    <row r="1764" spans="1:6" ht="12" x14ac:dyDescent="0.2">
      <c r="A1764" s="65">
        <v>63623</v>
      </c>
      <c r="B1764" s="52" t="s">
        <v>5937</v>
      </c>
      <c r="C1764" s="52" t="s">
        <v>5938</v>
      </c>
      <c r="D1764" s="53" t="s">
        <v>5939</v>
      </c>
      <c r="E1764" s="52" t="s">
        <v>5301</v>
      </c>
      <c r="F1764" s="52" t="s">
        <v>5210</v>
      </c>
    </row>
    <row r="1765" spans="1:6" ht="12" x14ac:dyDescent="0.2">
      <c r="A1765" s="65">
        <v>63627</v>
      </c>
      <c r="B1765" s="52" t="s">
        <v>5940</v>
      </c>
      <c r="C1765" s="52" t="s">
        <v>5941</v>
      </c>
      <c r="D1765" s="53" t="s">
        <v>5942</v>
      </c>
      <c r="E1765" s="52" t="s">
        <v>5940</v>
      </c>
      <c r="F1765" s="52" t="s">
        <v>5226</v>
      </c>
    </row>
    <row r="1766" spans="1:6" ht="12" x14ac:dyDescent="0.2">
      <c r="A1766" s="65">
        <v>63630</v>
      </c>
      <c r="B1766" s="52" t="s">
        <v>5943</v>
      </c>
      <c r="C1766" s="52" t="s">
        <v>5944</v>
      </c>
      <c r="D1766" s="53" t="s">
        <v>5945</v>
      </c>
      <c r="E1766" s="52" t="s">
        <v>5201</v>
      </c>
      <c r="F1766" s="52" t="s">
        <v>5201</v>
      </c>
    </row>
    <row r="1767" spans="1:6" ht="12" x14ac:dyDescent="0.2">
      <c r="A1767" s="65">
        <v>63631</v>
      </c>
      <c r="B1767" s="52" t="s">
        <v>5946</v>
      </c>
      <c r="C1767" s="52" t="s">
        <v>5944</v>
      </c>
      <c r="D1767" s="53" t="s">
        <v>5945</v>
      </c>
      <c r="E1767" s="52" t="s">
        <v>5201</v>
      </c>
      <c r="F1767" s="52" t="s">
        <v>5201</v>
      </c>
    </row>
    <row r="1768" spans="1:6" ht="12" x14ac:dyDescent="0.2">
      <c r="A1768" s="65">
        <v>63633</v>
      </c>
      <c r="B1768" s="52" t="s">
        <v>5947</v>
      </c>
      <c r="C1768" s="52" t="s">
        <v>5948</v>
      </c>
      <c r="D1768" s="53" t="s">
        <v>5949</v>
      </c>
      <c r="E1768" s="52" t="s">
        <v>5252</v>
      </c>
      <c r="F1768" s="52" t="s">
        <v>5210</v>
      </c>
    </row>
    <row r="1769" spans="1:6" ht="12" x14ac:dyDescent="0.2">
      <c r="A1769" s="65">
        <v>63658</v>
      </c>
      <c r="B1769" s="52" t="s">
        <v>5950</v>
      </c>
      <c r="C1769" s="52" t="s">
        <v>5951</v>
      </c>
      <c r="D1769" s="53" t="s">
        <v>5952</v>
      </c>
      <c r="E1769" s="52" t="s">
        <v>5732</v>
      </c>
      <c r="F1769" s="52" t="s">
        <v>5210</v>
      </c>
    </row>
    <row r="1770" spans="1:6" ht="12" x14ac:dyDescent="0.2">
      <c r="A1770" s="65">
        <v>63661</v>
      </c>
      <c r="B1770" s="52" t="s">
        <v>5953</v>
      </c>
      <c r="C1770" s="52" t="s">
        <v>5954</v>
      </c>
      <c r="D1770" s="53" t="s">
        <v>5955</v>
      </c>
      <c r="E1770" s="52" t="s">
        <v>5501</v>
      </c>
      <c r="F1770" s="52" t="s">
        <v>1873</v>
      </c>
    </row>
    <row r="1771" spans="1:6" ht="12" x14ac:dyDescent="0.2">
      <c r="A1771" s="65">
        <v>63662</v>
      </c>
      <c r="B1771" s="52" t="s">
        <v>5956</v>
      </c>
      <c r="C1771" s="52" t="s">
        <v>5957</v>
      </c>
      <c r="D1771" s="53" t="s">
        <v>5955</v>
      </c>
      <c r="E1771" s="52" t="s">
        <v>5501</v>
      </c>
      <c r="F1771" s="52" t="s">
        <v>1873</v>
      </c>
    </row>
    <row r="1772" spans="1:6" ht="12" x14ac:dyDescent="0.2">
      <c r="A1772" s="65">
        <v>63669</v>
      </c>
      <c r="B1772" s="52" t="s">
        <v>5958</v>
      </c>
      <c r="C1772" s="52" t="s">
        <v>5959</v>
      </c>
      <c r="D1772" s="53" t="s">
        <v>5960</v>
      </c>
      <c r="E1772" s="52" t="s">
        <v>5359</v>
      </c>
      <c r="F1772" s="52" t="s">
        <v>5218</v>
      </c>
    </row>
    <row r="1773" spans="1:6" ht="12" x14ac:dyDescent="0.2">
      <c r="A1773" s="65">
        <v>63673</v>
      </c>
      <c r="B1773" s="52" t="s">
        <v>5961</v>
      </c>
      <c r="C1773" s="52" t="s">
        <v>5962</v>
      </c>
      <c r="D1773" s="53" t="s">
        <v>5963</v>
      </c>
      <c r="E1773" s="52" t="s">
        <v>5550</v>
      </c>
      <c r="F1773" s="52" t="s">
        <v>5334</v>
      </c>
    </row>
    <row r="1774" spans="1:6" ht="12" x14ac:dyDescent="0.2">
      <c r="A1774" s="65">
        <v>63687</v>
      </c>
      <c r="B1774" s="52" t="s">
        <v>5964</v>
      </c>
      <c r="C1774" s="52" t="s">
        <v>5965</v>
      </c>
      <c r="D1774" s="53" t="s">
        <v>5966</v>
      </c>
      <c r="E1774" s="52" t="s">
        <v>1268</v>
      </c>
      <c r="F1774" s="52" t="s">
        <v>5218</v>
      </c>
    </row>
    <row r="1775" spans="1:6" ht="12" x14ac:dyDescent="0.2">
      <c r="A1775" s="65">
        <v>63688</v>
      </c>
      <c r="B1775" s="52" t="s">
        <v>5967</v>
      </c>
      <c r="C1775" s="52" t="s">
        <v>5965</v>
      </c>
      <c r="D1775" s="53" t="s">
        <v>5966</v>
      </c>
      <c r="E1775" s="52" t="s">
        <v>1268</v>
      </c>
      <c r="F1775" s="52" t="s">
        <v>5218</v>
      </c>
    </row>
    <row r="1776" spans="1:6" ht="12" x14ac:dyDescent="0.2">
      <c r="A1776" s="65">
        <v>63734</v>
      </c>
      <c r="B1776" s="52" t="s">
        <v>5968</v>
      </c>
      <c r="C1776" s="52" t="s">
        <v>5969</v>
      </c>
      <c r="D1776" s="53" t="s">
        <v>5970</v>
      </c>
      <c r="E1776" s="52" t="s">
        <v>5971</v>
      </c>
      <c r="F1776" s="52" t="s">
        <v>5218</v>
      </c>
    </row>
    <row r="1777" spans="1:6" ht="12" x14ac:dyDescent="0.2">
      <c r="A1777" s="65">
        <v>63844</v>
      </c>
      <c r="B1777" s="52" t="s">
        <v>5972</v>
      </c>
      <c r="C1777" s="52" t="s">
        <v>5973</v>
      </c>
      <c r="D1777" s="53" t="s">
        <v>5573</v>
      </c>
      <c r="E1777" s="52" t="s">
        <v>5348</v>
      </c>
      <c r="F1777" s="52" t="s">
        <v>5279</v>
      </c>
    </row>
    <row r="1778" spans="1:6" ht="12" x14ac:dyDescent="0.2">
      <c r="A1778" s="65">
        <v>63970</v>
      </c>
      <c r="B1778" s="52" t="s">
        <v>5974</v>
      </c>
      <c r="C1778" s="52" t="s">
        <v>5975</v>
      </c>
      <c r="D1778" s="53" t="s">
        <v>5976</v>
      </c>
      <c r="E1778" s="52" t="s">
        <v>5385</v>
      </c>
      <c r="F1778" s="52" t="s">
        <v>5385</v>
      </c>
    </row>
    <row r="1779" spans="1:6" ht="12" x14ac:dyDescent="0.2">
      <c r="A1779" s="65">
        <v>64023</v>
      </c>
      <c r="B1779" s="52" t="s">
        <v>5977</v>
      </c>
      <c r="C1779" s="52" t="s">
        <v>5978</v>
      </c>
      <c r="D1779" s="53" t="s">
        <v>5979</v>
      </c>
      <c r="E1779" s="52" t="s">
        <v>5242</v>
      </c>
      <c r="F1779" s="52" t="s">
        <v>5210</v>
      </c>
    </row>
    <row r="1780" spans="1:6" ht="12" x14ac:dyDescent="0.2">
      <c r="A1780" s="65">
        <v>64043</v>
      </c>
      <c r="B1780" s="52" t="s">
        <v>5801</v>
      </c>
      <c r="C1780" s="52" t="s">
        <v>5980</v>
      </c>
      <c r="D1780" s="53" t="s">
        <v>5981</v>
      </c>
      <c r="E1780" s="52" t="s">
        <v>5801</v>
      </c>
      <c r="F1780" s="52" t="s">
        <v>5600</v>
      </c>
    </row>
    <row r="1781" spans="1:6" ht="12" x14ac:dyDescent="0.2">
      <c r="A1781" s="65">
        <v>64097</v>
      </c>
      <c r="B1781" s="52" t="s">
        <v>5982</v>
      </c>
      <c r="C1781" s="52" t="s">
        <v>5983</v>
      </c>
      <c r="D1781" s="53" t="s">
        <v>5984</v>
      </c>
      <c r="E1781" s="52" t="s">
        <v>5233</v>
      </c>
      <c r="F1781" s="52" t="s">
        <v>5233</v>
      </c>
    </row>
    <row r="1782" spans="1:6" ht="12" x14ac:dyDescent="0.2">
      <c r="A1782" s="65">
        <v>64160</v>
      </c>
      <c r="B1782" s="52" t="s">
        <v>5985</v>
      </c>
      <c r="C1782" s="52" t="s">
        <v>5986</v>
      </c>
      <c r="D1782" s="53" t="s">
        <v>5987</v>
      </c>
      <c r="E1782" s="52" t="s">
        <v>5988</v>
      </c>
      <c r="F1782" s="52" t="s">
        <v>5385</v>
      </c>
    </row>
    <row r="1783" spans="1:6" ht="12" x14ac:dyDescent="0.2">
      <c r="A1783" s="65">
        <v>64169</v>
      </c>
      <c r="B1783" s="52" t="s">
        <v>5989</v>
      </c>
      <c r="C1783" s="52" t="s">
        <v>5990</v>
      </c>
      <c r="D1783" s="53" t="s">
        <v>5991</v>
      </c>
      <c r="E1783" s="52" t="s">
        <v>5992</v>
      </c>
      <c r="F1783" s="52" t="s">
        <v>5226</v>
      </c>
    </row>
    <row r="1784" spans="1:6" ht="12" x14ac:dyDescent="0.2">
      <c r="A1784" s="65">
        <v>64170</v>
      </c>
      <c r="B1784" s="52" t="s">
        <v>5993</v>
      </c>
      <c r="C1784" s="52" t="s">
        <v>5994</v>
      </c>
      <c r="D1784" s="53" t="s">
        <v>5995</v>
      </c>
      <c r="E1784" s="52" t="s">
        <v>5996</v>
      </c>
      <c r="F1784" s="52" t="s">
        <v>1564</v>
      </c>
    </row>
    <row r="1785" spans="1:6" ht="12" x14ac:dyDescent="0.2">
      <c r="A1785" s="65">
        <v>64171</v>
      </c>
      <c r="B1785" s="52" t="s">
        <v>5997</v>
      </c>
      <c r="C1785" s="52" t="s">
        <v>5998</v>
      </c>
      <c r="D1785" s="53" t="s">
        <v>5995</v>
      </c>
      <c r="E1785" s="52" t="s">
        <v>5297</v>
      </c>
      <c r="F1785" s="52" t="s">
        <v>5218</v>
      </c>
    </row>
    <row r="1786" spans="1:6" ht="12" x14ac:dyDescent="0.2">
      <c r="A1786" s="65">
        <v>64172</v>
      </c>
      <c r="B1786" s="52" t="s">
        <v>5999</v>
      </c>
      <c r="C1786" s="52" t="s">
        <v>6000</v>
      </c>
      <c r="D1786" s="53" t="s">
        <v>5995</v>
      </c>
      <c r="E1786" s="52" t="s">
        <v>5214</v>
      </c>
      <c r="F1786" s="52" t="s">
        <v>5210</v>
      </c>
    </row>
    <row r="1787" spans="1:6" ht="12" x14ac:dyDescent="0.2">
      <c r="A1787" s="65">
        <v>64173</v>
      </c>
      <c r="B1787" s="52" t="s">
        <v>6001</v>
      </c>
      <c r="C1787" s="52" t="s">
        <v>6002</v>
      </c>
      <c r="D1787" s="53" t="s">
        <v>6003</v>
      </c>
      <c r="E1787" s="52" t="s">
        <v>5279</v>
      </c>
      <c r="F1787" s="52" t="s">
        <v>5279</v>
      </c>
    </row>
    <row r="1788" spans="1:6" ht="12" x14ac:dyDescent="0.2">
      <c r="A1788" s="65">
        <v>64174</v>
      </c>
      <c r="B1788" s="52" t="s">
        <v>6004</v>
      </c>
      <c r="C1788" s="52" t="s">
        <v>6005</v>
      </c>
      <c r="D1788" s="53" t="s">
        <v>6006</v>
      </c>
      <c r="E1788" s="52" t="s">
        <v>6004</v>
      </c>
      <c r="F1788" s="52" t="s">
        <v>5279</v>
      </c>
    </row>
    <row r="1789" spans="1:6" ht="12" x14ac:dyDescent="0.2">
      <c r="A1789" s="65">
        <v>64188</v>
      </c>
      <c r="B1789" s="52" t="s">
        <v>6007</v>
      </c>
      <c r="C1789" s="52" t="s">
        <v>6008</v>
      </c>
      <c r="D1789" s="53" t="s">
        <v>6009</v>
      </c>
      <c r="E1789" s="52" t="s">
        <v>1873</v>
      </c>
      <c r="F1789" s="52" t="s">
        <v>1873</v>
      </c>
    </row>
    <row r="1790" spans="1:6" ht="12" x14ac:dyDescent="0.2">
      <c r="A1790" s="65">
        <v>64189</v>
      </c>
      <c r="B1790" s="52" t="s">
        <v>6010</v>
      </c>
      <c r="C1790" s="52" t="s">
        <v>6011</v>
      </c>
      <c r="D1790" s="53" t="s">
        <v>6012</v>
      </c>
      <c r="E1790" s="52" t="s">
        <v>5600</v>
      </c>
      <c r="F1790" s="52" t="s">
        <v>5600</v>
      </c>
    </row>
    <row r="1791" spans="1:6" ht="12" x14ac:dyDescent="0.2">
      <c r="A1791" s="65">
        <v>64505</v>
      </c>
      <c r="B1791" s="52" t="s">
        <v>6013</v>
      </c>
      <c r="C1791" s="52" t="s">
        <v>6014</v>
      </c>
      <c r="D1791" s="53" t="s">
        <v>6015</v>
      </c>
      <c r="E1791" s="52" t="s">
        <v>6016</v>
      </c>
      <c r="F1791" s="52" t="s">
        <v>5283</v>
      </c>
    </row>
    <row r="1792" spans="1:6" ht="12" x14ac:dyDescent="0.2">
      <c r="A1792" s="65">
        <v>64518</v>
      </c>
      <c r="B1792" s="52" t="s">
        <v>6017</v>
      </c>
      <c r="C1792" s="52" t="s">
        <v>6018</v>
      </c>
      <c r="D1792" s="53" t="s">
        <v>6019</v>
      </c>
      <c r="E1792" s="52" t="s">
        <v>6017</v>
      </c>
      <c r="F1792" s="52" t="s">
        <v>5530</v>
      </c>
    </row>
    <row r="1793" spans="1:6" ht="12" x14ac:dyDescent="0.2">
      <c r="A1793" s="65">
        <v>69038</v>
      </c>
      <c r="B1793" s="52" t="s">
        <v>6020</v>
      </c>
      <c r="C1793" s="52" t="s">
        <v>6021</v>
      </c>
      <c r="D1793" s="53" t="s">
        <v>6022</v>
      </c>
      <c r="E1793" s="52" t="s">
        <v>5302</v>
      </c>
      <c r="F1793" s="52" t="s">
        <v>1564</v>
      </c>
    </row>
    <row r="1794" spans="1:6" ht="12" x14ac:dyDescent="0.2">
      <c r="A1794" s="65">
        <v>70617</v>
      </c>
      <c r="B1794" s="52" t="s">
        <v>945</v>
      </c>
      <c r="C1794" s="52" t="s">
        <v>6023</v>
      </c>
      <c r="D1794" s="53" t="s">
        <v>6024</v>
      </c>
      <c r="E1794" s="52" t="s">
        <v>945</v>
      </c>
      <c r="F1794" s="52" t="s">
        <v>99</v>
      </c>
    </row>
    <row r="1795" spans="1:6" ht="12" x14ac:dyDescent="0.2">
      <c r="A1795" s="65">
        <v>70650</v>
      </c>
      <c r="B1795" s="52" t="s">
        <v>946</v>
      </c>
      <c r="C1795" s="52" t="s">
        <v>6025</v>
      </c>
      <c r="D1795" s="53" t="s">
        <v>6026</v>
      </c>
      <c r="E1795" s="52" t="s">
        <v>946</v>
      </c>
      <c r="F1795" s="52" t="s">
        <v>99</v>
      </c>
    </row>
    <row r="1796" spans="1:6" ht="12" x14ac:dyDescent="0.2">
      <c r="A1796" s="65">
        <v>74030</v>
      </c>
      <c r="B1796" s="52" t="s">
        <v>6027</v>
      </c>
      <c r="C1796" s="52" t="s">
        <v>6028</v>
      </c>
      <c r="D1796" s="53" t="s">
        <v>6029</v>
      </c>
      <c r="E1796" s="52" t="s">
        <v>84</v>
      </c>
      <c r="F1796" s="52" t="s">
        <v>84</v>
      </c>
    </row>
    <row r="1797" spans="1:6" ht="12" x14ac:dyDescent="0.2">
      <c r="A1797" s="65">
        <v>74060</v>
      </c>
      <c r="B1797" s="52" t="s">
        <v>947</v>
      </c>
      <c r="C1797" s="52" t="s">
        <v>6030</v>
      </c>
      <c r="D1797" s="53" t="s">
        <v>6031</v>
      </c>
      <c r="E1797" s="52" t="s">
        <v>6032</v>
      </c>
      <c r="F1797" s="52" t="s">
        <v>84</v>
      </c>
    </row>
    <row r="1798" spans="1:6" ht="12" x14ac:dyDescent="0.2">
      <c r="A1798" s="65">
        <v>74108</v>
      </c>
      <c r="B1798" s="52" t="s">
        <v>469</v>
      </c>
      <c r="C1798" s="52" t="s">
        <v>6033</v>
      </c>
      <c r="D1798" s="53" t="s">
        <v>4032</v>
      </c>
      <c r="E1798" s="52" t="s">
        <v>84</v>
      </c>
      <c r="F1798" s="52" t="s">
        <v>84</v>
      </c>
    </row>
    <row r="1799" spans="1:6" ht="12" x14ac:dyDescent="0.2">
      <c r="A1799" s="65">
        <v>74276</v>
      </c>
      <c r="B1799" s="52" t="s">
        <v>948</v>
      </c>
      <c r="C1799" s="52" t="s">
        <v>949</v>
      </c>
      <c r="D1799" s="53" t="s">
        <v>6034</v>
      </c>
      <c r="E1799" s="52" t="s">
        <v>948</v>
      </c>
      <c r="F1799" s="52" t="s">
        <v>135</v>
      </c>
    </row>
    <row r="1800" spans="1:6" ht="12" x14ac:dyDescent="0.2">
      <c r="A1800" s="65">
        <v>74432</v>
      </c>
      <c r="B1800" s="52" t="s">
        <v>470</v>
      </c>
      <c r="C1800" s="52" t="s">
        <v>6035</v>
      </c>
      <c r="D1800" s="53" t="s">
        <v>6036</v>
      </c>
      <c r="E1800" s="52" t="s">
        <v>84</v>
      </c>
      <c r="F1800" s="52" t="s">
        <v>84</v>
      </c>
    </row>
    <row r="1801" spans="1:6" ht="12" x14ac:dyDescent="0.2">
      <c r="A1801" s="65">
        <v>74461</v>
      </c>
      <c r="B1801" s="52" t="s">
        <v>950</v>
      </c>
      <c r="C1801" s="52" t="s">
        <v>6037</v>
      </c>
      <c r="D1801" s="53" t="s">
        <v>6029</v>
      </c>
      <c r="E1801" s="52" t="s">
        <v>84</v>
      </c>
      <c r="F1801" s="52" t="s">
        <v>84</v>
      </c>
    </row>
    <row r="1802" spans="1:6" ht="12" x14ac:dyDescent="0.2">
      <c r="A1802" s="65">
        <v>77001</v>
      </c>
      <c r="B1802" s="52" t="s">
        <v>1988</v>
      </c>
      <c r="C1802" s="52" t="s">
        <v>6038</v>
      </c>
      <c r="D1802" s="53" t="s">
        <v>6039</v>
      </c>
      <c r="E1802" s="52" t="s">
        <v>1988</v>
      </c>
      <c r="F1802" s="52" t="s">
        <v>473</v>
      </c>
    </row>
    <row r="1803" spans="1:6" ht="12" x14ac:dyDescent="0.2">
      <c r="A1803" s="65">
        <v>77048</v>
      </c>
      <c r="B1803" s="52" t="s">
        <v>1767</v>
      </c>
      <c r="C1803" s="52" t="s">
        <v>6040</v>
      </c>
      <c r="D1803" s="53" t="s">
        <v>6041</v>
      </c>
      <c r="E1803" s="52" t="s">
        <v>1768</v>
      </c>
      <c r="F1803" s="52" t="s">
        <v>6042</v>
      </c>
    </row>
    <row r="1804" spans="1:6" ht="12" x14ac:dyDescent="0.2">
      <c r="A1804" s="65">
        <v>77083</v>
      </c>
      <c r="B1804" s="52" t="s">
        <v>1769</v>
      </c>
      <c r="C1804" s="52" t="s">
        <v>6043</v>
      </c>
      <c r="D1804" s="53" t="s">
        <v>6044</v>
      </c>
      <c r="E1804" s="52" t="s">
        <v>57</v>
      </c>
      <c r="F1804" s="52" t="s">
        <v>6042</v>
      </c>
    </row>
    <row r="1805" spans="1:6" ht="12" x14ac:dyDescent="0.2">
      <c r="A1805" s="65">
        <v>77087</v>
      </c>
      <c r="B1805" s="52" t="s">
        <v>1987</v>
      </c>
      <c r="C1805" s="52" t="s">
        <v>6045</v>
      </c>
      <c r="D1805" s="53" t="s">
        <v>6046</v>
      </c>
      <c r="E1805" s="52" t="s">
        <v>1987</v>
      </c>
      <c r="F1805" s="52" t="s">
        <v>6042</v>
      </c>
    </row>
    <row r="1806" spans="1:6" ht="12" x14ac:dyDescent="0.2">
      <c r="A1806" s="65">
        <v>77101</v>
      </c>
      <c r="B1806" s="52" t="s">
        <v>951</v>
      </c>
      <c r="C1806" s="52" t="s">
        <v>952</v>
      </c>
      <c r="D1806" s="53" t="s">
        <v>6047</v>
      </c>
      <c r="E1806" s="52" t="s">
        <v>475</v>
      </c>
      <c r="F1806" s="52" t="s">
        <v>473</v>
      </c>
    </row>
    <row r="1807" spans="1:6" ht="12" x14ac:dyDescent="0.2">
      <c r="A1807" s="65">
        <v>77144</v>
      </c>
      <c r="B1807" s="52" t="s">
        <v>1770</v>
      </c>
      <c r="C1807" s="52" t="s">
        <v>6048</v>
      </c>
      <c r="D1807" s="53" t="s">
        <v>6049</v>
      </c>
      <c r="E1807" s="52" t="s">
        <v>1771</v>
      </c>
      <c r="F1807" s="52" t="s">
        <v>6042</v>
      </c>
    </row>
    <row r="1808" spans="1:6" ht="12" x14ac:dyDescent="0.2">
      <c r="A1808" s="65">
        <v>77170</v>
      </c>
      <c r="B1808" s="52" t="s">
        <v>953</v>
      </c>
      <c r="C1808" s="52" t="s">
        <v>6050</v>
      </c>
      <c r="D1808" s="53" t="s">
        <v>6051</v>
      </c>
      <c r="E1808" s="52" t="s">
        <v>953</v>
      </c>
      <c r="F1808" s="52" t="s">
        <v>473</v>
      </c>
    </row>
    <row r="1809" spans="1:6" ht="12" x14ac:dyDescent="0.2">
      <c r="A1809" s="65">
        <v>77171</v>
      </c>
      <c r="B1809" s="52" t="s">
        <v>1772</v>
      </c>
      <c r="C1809" s="52" t="s">
        <v>6052</v>
      </c>
      <c r="D1809" s="53" t="s">
        <v>6053</v>
      </c>
      <c r="E1809" s="52" t="s">
        <v>1773</v>
      </c>
      <c r="F1809" s="52" t="s">
        <v>473</v>
      </c>
    </row>
    <row r="1810" spans="1:6" ht="12" x14ac:dyDescent="0.2">
      <c r="A1810" s="65">
        <v>77172</v>
      </c>
      <c r="B1810" s="52" t="s">
        <v>487</v>
      </c>
      <c r="C1810" s="52" t="s">
        <v>6054</v>
      </c>
      <c r="D1810" s="53" t="s">
        <v>6055</v>
      </c>
      <c r="E1810" s="52" t="s">
        <v>487</v>
      </c>
      <c r="F1810" s="52" t="s">
        <v>473</v>
      </c>
    </row>
    <row r="1811" spans="1:6" ht="12" x14ac:dyDescent="0.2">
      <c r="A1811" s="65">
        <v>77173</v>
      </c>
      <c r="B1811" s="52" t="s">
        <v>954</v>
      </c>
      <c r="C1811" s="52" t="s">
        <v>6056</v>
      </c>
      <c r="D1811" s="53" t="s">
        <v>6057</v>
      </c>
      <c r="E1811" s="52" t="s">
        <v>955</v>
      </c>
      <c r="F1811" s="52" t="s">
        <v>473</v>
      </c>
    </row>
    <row r="1812" spans="1:6" ht="12" x14ac:dyDescent="0.2">
      <c r="A1812" s="65">
        <v>77174</v>
      </c>
      <c r="B1812" s="52" t="s">
        <v>956</v>
      </c>
      <c r="C1812" s="52" t="s">
        <v>6058</v>
      </c>
      <c r="D1812" s="53" t="s">
        <v>6059</v>
      </c>
      <c r="E1812" s="52" t="s">
        <v>957</v>
      </c>
      <c r="F1812" s="52" t="s">
        <v>473</v>
      </c>
    </row>
    <row r="1813" spans="1:6" ht="12" x14ac:dyDescent="0.2">
      <c r="A1813" s="65">
        <v>77175</v>
      </c>
      <c r="B1813" s="52" t="s">
        <v>958</v>
      </c>
      <c r="C1813" s="52" t="s">
        <v>6060</v>
      </c>
      <c r="D1813" s="53" t="s">
        <v>6061</v>
      </c>
      <c r="E1813" s="52" t="s">
        <v>959</v>
      </c>
      <c r="F1813" s="52" t="s">
        <v>473</v>
      </c>
    </row>
    <row r="1814" spans="1:6" ht="12" x14ac:dyDescent="0.2">
      <c r="A1814" s="65">
        <v>77176</v>
      </c>
      <c r="B1814" s="52" t="s">
        <v>960</v>
      </c>
      <c r="C1814" s="52" t="s">
        <v>961</v>
      </c>
      <c r="D1814" s="53" t="s">
        <v>6062</v>
      </c>
      <c r="E1814" s="52" t="s">
        <v>960</v>
      </c>
      <c r="F1814" s="52" t="s">
        <v>473</v>
      </c>
    </row>
    <row r="1815" spans="1:6" ht="12" x14ac:dyDescent="0.2">
      <c r="A1815" s="65">
        <v>77177</v>
      </c>
      <c r="B1815" s="52" t="s">
        <v>471</v>
      </c>
      <c r="C1815" s="52" t="s">
        <v>6063</v>
      </c>
      <c r="D1815" s="53" t="s">
        <v>6064</v>
      </c>
      <c r="E1815" s="52" t="s">
        <v>472</v>
      </c>
      <c r="F1815" s="52" t="s">
        <v>473</v>
      </c>
    </row>
    <row r="1816" spans="1:6" ht="12" x14ac:dyDescent="0.2">
      <c r="A1816" s="65">
        <v>77178</v>
      </c>
      <c r="B1816" s="52" t="s">
        <v>6065</v>
      </c>
      <c r="C1816" s="52" t="s">
        <v>1774</v>
      </c>
      <c r="D1816" s="53" t="s">
        <v>6066</v>
      </c>
      <c r="E1816" s="52" t="s">
        <v>1775</v>
      </c>
      <c r="F1816" s="52" t="s">
        <v>473</v>
      </c>
    </row>
    <row r="1817" spans="1:6" ht="12" x14ac:dyDescent="0.2">
      <c r="A1817" s="65">
        <v>77179</v>
      </c>
      <c r="B1817" s="52" t="s">
        <v>962</v>
      </c>
      <c r="C1817" s="52" t="s">
        <v>963</v>
      </c>
      <c r="D1817" s="53" t="s">
        <v>6067</v>
      </c>
      <c r="E1817" s="52" t="s">
        <v>962</v>
      </c>
      <c r="F1817" s="52" t="s">
        <v>473</v>
      </c>
    </row>
    <row r="1818" spans="1:6" ht="12" x14ac:dyDescent="0.2">
      <c r="A1818" s="65">
        <v>77180</v>
      </c>
      <c r="B1818" s="52" t="s">
        <v>474</v>
      </c>
      <c r="C1818" s="52" t="s">
        <v>6068</v>
      </c>
      <c r="D1818" s="53" t="s">
        <v>6069</v>
      </c>
      <c r="E1818" s="52" t="s">
        <v>474</v>
      </c>
      <c r="F1818" s="52" t="s">
        <v>473</v>
      </c>
    </row>
    <row r="1819" spans="1:6" ht="12" x14ac:dyDescent="0.2">
      <c r="A1819" s="65">
        <v>77183</v>
      </c>
      <c r="B1819" s="52" t="s">
        <v>964</v>
      </c>
      <c r="C1819" s="52" t="s">
        <v>965</v>
      </c>
      <c r="D1819" s="53" t="s">
        <v>6070</v>
      </c>
      <c r="E1819" s="52" t="s">
        <v>475</v>
      </c>
      <c r="F1819" s="52" t="s">
        <v>473</v>
      </c>
    </row>
    <row r="1820" spans="1:6" ht="12" x14ac:dyDescent="0.2">
      <c r="A1820" s="65">
        <v>77185</v>
      </c>
      <c r="B1820" s="52" t="s">
        <v>1241</v>
      </c>
      <c r="C1820" s="52" t="s">
        <v>6071</v>
      </c>
      <c r="D1820" s="53" t="s">
        <v>6072</v>
      </c>
      <c r="E1820" s="52" t="s">
        <v>475</v>
      </c>
      <c r="F1820" s="52" t="s">
        <v>473</v>
      </c>
    </row>
    <row r="1821" spans="1:6" ht="12" x14ac:dyDescent="0.2">
      <c r="A1821" s="65">
        <v>77186</v>
      </c>
      <c r="B1821" s="52" t="s">
        <v>966</v>
      </c>
      <c r="C1821" s="52" t="s">
        <v>967</v>
      </c>
      <c r="D1821" s="53" t="s">
        <v>6073</v>
      </c>
      <c r="E1821" s="52" t="s">
        <v>475</v>
      </c>
      <c r="F1821" s="52" t="s">
        <v>473</v>
      </c>
    </row>
    <row r="1822" spans="1:6" ht="12" x14ac:dyDescent="0.2">
      <c r="A1822" s="65">
        <v>77188</v>
      </c>
      <c r="B1822" s="52" t="s">
        <v>431</v>
      </c>
      <c r="C1822" s="52" t="s">
        <v>1776</v>
      </c>
      <c r="D1822" s="53" t="s">
        <v>6074</v>
      </c>
      <c r="E1822" s="52" t="s">
        <v>475</v>
      </c>
      <c r="F1822" s="52" t="s">
        <v>473</v>
      </c>
    </row>
    <row r="1823" spans="1:6" ht="12" x14ac:dyDescent="0.2">
      <c r="A1823" s="65">
        <v>77189</v>
      </c>
      <c r="B1823" s="52" t="s">
        <v>1242</v>
      </c>
      <c r="C1823" s="52" t="s">
        <v>6075</v>
      </c>
      <c r="D1823" s="53" t="s">
        <v>6076</v>
      </c>
      <c r="E1823" s="52" t="s">
        <v>475</v>
      </c>
      <c r="F1823" s="52" t="s">
        <v>473</v>
      </c>
    </row>
    <row r="1824" spans="1:6" ht="12" x14ac:dyDescent="0.2">
      <c r="A1824" s="65">
        <v>77190</v>
      </c>
      <c r="B1824" s="52" t="s">
        <v>968</v>
      </c>
      <c r="C1824" s="52" t="s">
        <v>6077</v>
      </c>
      <c r="D1824" s="53" t="s">
        <v>6078</v>
      </c>
      <c r="E1824" s="52" t="s">
        <v>968</v>
      </c>
      <c r="F1824" s="52" t="s">
        <v>473</v>
      </c>
    </row>
    <row r="1825" spans="1:6" ht="12" x14ac:dyDescent="0.2">
      <c r="A1825" s="65">
        <v>77191</v>
      </c>
      <c r="B1825" s="52" t="s">
        <v>1777</v>
      </c>
      <c r="C1825" s="52" t="s">
        <v>6079</v>
      </c>
      <c r="D1825" s="53" t="s">
        <v>6078</v>
      </c>
      <c r="E1825" s="52" t="s">
        <v>6080</v>
      </c>
      <c r="F1825" s="52" t="s">
        <v>473</v>
      </c>
    </row>
    <row r="1826" spans="1:6" ht="12" x14ac:dyDescent="0.2">
      <c r="A1826" s="65">
        <v>77193</v>
      </c>
      <c r="B1826" s="52" t="s">
        <v>6081</v>
      </c>
      <c r="C1826" s="52" t="s">
        <v>6082</v>
      </c>
      <c r="D1826" s="53" t="s">
        <v>6083</v>
      </c>
      <c r="E1826" s="52" t="s">
        <v>472</v>
      </c>
      <c r="F1826" s="52" t="s">
        <v>473</v>
      </c>
    </row>
    <row r="1827" spans="1:6" ht="12" x14ac:dyDescent="0.2">
      <c r="A1827" s="65">
        <v>77194</v>
      </c>
      <c r="B1827" s="52" t="s">
        <v>1243</v>
      </c>
      <c r="C1827" s="52" t="s">
        <v>6084</v>
      </c>
      <c r="D1827" s="53" t="s">
        <v>6085</v>
      </c>
      <c r="E1827" s="52" t="s">
        <v>59</v>
      </c>
      <c r="F1827" s="52" t="s">
        <v>6042</v>
      </c>
    </row>
    <row r="1828" spans="1:6" ht="12" x14ac:dyDescent="0.2">
      <c r="A1828" s="65">
        <v>77196</v>
      </c>
      <c r="B1828" s="52" t="s">
        <v>1778</v>
      </c>
      <c r="C1828" s="52" t="s">
        <v>6086</v>
      </c>
      <c r="D1828" s="53" t="s">
        <v>6087</v>
      </c>
      <c r="E1828" s="52" t="s">
        <v>1778</v>
      </c>
      <c r="F1828" s="52" t="s">
        <v>473</v>
      </c>
    </row>
    <row r="1829" spans="1:6" ht="12" x14ac:dyDescent="0.2">
      <c r="A1829" s="65">
        <v>77197</v>
      </c>
      <c r="B1829" s="52" t="s">
        <v>1779</v>
      </c>
      <c r="C1829" s="52" t="s">
        <v>6088</v>
      </c>
      <c r="D1829" s="53" t="s">
        <v>6089</v>
      </c>
      <c r="E1829" s="52" t="s">
        <v>1780</v>
      </c>
      <c r="F1829" s="52" t="s">
        <v>473</v>
      </c>
    </row>
    <row r="1830" spans="1:6" ht="12" x14ac:dyDescent="0.2">
      <c r="A1830" s="65">
        <v>77198</v>
      </c>
      <c r="B1830" s="52" t="s">
        <v>1781</v>
      </c>
      <c r="C1830" s="52" t="s">
        <v>6090</v>
      </c>
      <c r="D1830" s="53" t="s">
        <v>6091</v>
      </c>
      <c r="E1830" s="52" t="s">
        <v>1781</v>
      </c>
      <c r="F1830" s="52" t="s">
        <v>473</v>
      </c>
    </row>
    <row r="1831" spans="1:6" ht="12" x14ac:dyDescent="0.2">
      <c r="A1831" s="65">
        <v>77199</v>
      </c>
      <c r="B1831" s="54" t="s">
        <v>1985</v>
      </c>
      <c r="C1831" s="54" t="s">
        <v>6092</v>
      </c>
      <c r="D1831" s="53" t="s">
        <v>6093</v>
      </c>
      <c r="E1831" s="54" t="s">
        <v>6094</v>
      </c>
      <c r="F1831" s="54" t="s">
        <v>473</v>
      </c>
    </row>
    <row r="1832" spans="1:6" ht="12" x14ac:dyDescent="0.2">
      <c r="A1832" s="65">
        <v>77200</v>
      </c>
      <c r="B1832" s="52" t="s">
        <v>969</v>
      </c>
      <c r="C1832" s="52" t="s">
        <v>6095</v>
      </c>
      <c r="D1832" s="53" t="s">
        <v>6096</v>
      </c>
      <c r="E1832" s="52" t="s">
        <v>62</v>
      </c>
      <c r="F1832" s="52" t="s">
        <v>6042</v>
      </c>
    </row>
    <row r="1833" spans="1:6" ht="12" x14ac:dyDescent="0.2">
      <c r="A1833" s="65">
        <v>77201</v>
      </c>
      <c r="B1833" s="52" t="s">
        <v>970</v>
      </c>
      <c r="C1833" s="52" t="s">
        <v>6097</v>
      </c>
      <c r="D1833" s="53" t="s">
        <v>6098</v>
      </c>
      <c r="E1833" s="52" t="s">
        <v>971</v>
      </c>
      <c r="F1833" s="52" t="s">
        <v>6042</v>
      </c>
    </row>
    <row r="1834" spans="1:6" ht="12" x14ac:dyDescent="0.2">
      <c r="A1834" s="65">
        <v>77204</v>
      </c>
      <c r="B1834" s="52" t="s">
        <v>1782</v>
      </c>
      <c r="C1834" s="52" t="s">
        <v>6099</v>
      </c>
      <c r="D1834" s="53" t="s">
        <v>6100</v>
      </c>
      <c r="E1834" s="52" t="s">
        <v>53</v>
      </c>
      <c r="F1834" s="52" t="s">
        <v>6042</v>
      </c>
    </row>
    <row r="1835" spans="1:6" ht="12" x14ac:dyDescent="0.2">
      <c r="A1835" s="65">
        <v>77205</v>
      </c>
      <c r="B1835" s="52" t="s">
        <v>1783</v>
      </c>
      <c r="C1835" s="52" t="s">
        <v>6101</v>
      </c>
      <c r="D1835" s="53" t="s">
        <v>6102</v>
      </c>
      <c r="E1835" s="52" t="s">
        <v>1783</v>
      </c>
      <c r="F1835" s="52" t="s">
        <v>6042</v>
      </c>
    </row>
    <row r="1836" spans="1:6" ht="12" x14ac:dyDescent="0.2">
      <c r="A1836" s="65">
        <v>77208</v>
      </c>
      <c r="B1836" s="52" t="s">
        <v>1784</v>
      </c>
      <c r="C1836" s="52" t="s">
        <v>6103</v>
      </c>
      <c r="D1836" s="53" t="s">
        <v>6085</v>
      </c>
      <c r="E1836" s="52" t="s">
        <v>59</v>
      </c>
      <c r="F1836" s="52" t="s">
        <v>6042</v>
      </c>
    </row>
    <row r="1837" spans="1:6" ht="12" x14ac:dyDescent="0.2">
      <c r="A1837" s="65">
        <v>77209</v>
      </c>
      <c r="B1837" s="52" t="s">
        <v>972</v>
      </c>
      <c r="C1837" s="52" t="s">
        <v>6104</v>
      </c>
      <c r="D1837" s="53" t="s">
        <v>6105</v>
      </c>
      <c r="E1837" s="52" t="s">
        <v>54</v>
      </c>
      <c r="F1837" s="52" t="s">
        <v>6042</v>
      </c>
    </row>
    <row r="1838" spans="1:6" ht="12" x14ac:dyDescent="0.2">
      <c r="A1838" s="65">
        <v>77210</v>
      </c>
      <c r="B1838" s="52" t="s">
        <v>973</v>
      </c>
      <c r="C1838" s="52" t="s">
        <v>6106</v>
      </c>
      <c r="D1838" s="53" t="s">
        <v>6107</v>
      </c>
      <c r="E1838" s="52" t="s">
        <v>60</v>
      </c>
      <c r="F1838" s="52" t="s">
        <v>6042</v>
      </c>
    </row>
    <row r="1839" spans="1:6" ht="12" x14ac:dyDescent="0.2">
      <c r="A1839" s="65">
        <v>77214</v>
      </c>
      <c r="B1839" s="52" t="s">
        <v>409</v>
      </c>
      <c r="C1839" s="52" t="s">
        <v>6108</v>
      </c>
      <c r="D1839" s="53" t="s">
        <v>6109</v>
      </c>
      <c r="E1839" s="52" t="s">
        <v>58</v>
      </c>
      <c r="F1839" s="52" t="s">
        <v>6042</v>
      </c>
    </row>
    <row r="1840" spans="1:6" ht="12" x14ac:dyDescent="0.2">
      <c r="A1840" s="65">
        <v>77219</v>
      </c>
      <c r="B1840" s="52" t="s">
        <v>1785</v>
      </c>
      <c r="C1840" s="52" t="s">
        <v>6110</v>
      </c>
      <c r="D1840" s="53" t="s">
        <v>6111</v>
      </c>
      <c r="E1840" s="52" t="s">
        <v>55</v>
      </c>
      <c r="F1840" s="52" t="s">
        <v>6042</v>
      </c>
    </row>
    <row r="1841" spans="1:6" ht="12" x14ac:dyDescent="0.2">
      <c r="A1841" s="65">
        <v>77220</v>
      </c>
      <c r="B1841" s="52" t="s">
        <v>974</v>
      </c>
      <c r="C1841" s="52" t="s">
        <v>975</v>
      </c>
      <c r="D1841" s="53" t="s">
        <v>6112</v>
      </c>
      <c r="E1841" s="52" t="s">
        <v>974</v>
      </c>
      <c r="F1841" s="52" t="s">
        <v>6042</v>
      </c>
    </row>
    <row r="1842" spans="1:6" ht="12" x14ac:dyDescent="0.2">
      <c r="A1842" s="65">
        <v>77221</v>
      </c>
      <c r="B1842" s="52" t="s">
        <v>1915</v>
      </c>
      <c r="C1842" s="52" t="s">
        <v>6113</v>
      </c>
      <c r="D1842" s="53" t="s">
        <v>6114</v>
      </c>
      <c r="E1842" s="52" t="s">
        <v>61</v>
      </c>
      <c r="F1842" s="52" t="s">
        <v>6042</v>
      </c>
    </row>
    <row r="1843" spans="1:6" ht="12" x14ac:dyDescent="0.2">
      <c r="A1843" s="65">
        <v>77222</v>
      </c>
      <c r="B1843" s="52" t="s">
        <v>476</v>
      </c>
      <c r="C1843" s="52" t="s">
        <v>6115</v>
      </c>
      <c r="D1843" s="53" t="s">
        <v>6116</v>
      </c>
      <c r="E1843" s="52" t="s">
        <v>61</v>
      </c>
      <c r="F1843" s="52" t="s">
        <v>6042</v>
      </c>
    </row>
    <row r="1844" spans="1:6" ht="12" x14ac:dyDescent="0.2">
      <c r="A1844" s="65">
        <v>77223</v>
      </c>
      <c r="B1844" s="52" t="s">
        <v>976</v>
      </c>
      <c r="C1844" s="52" t="s">
        <v>6117</v>
      </c>
      <c r="D1844" s="53" t="s">
        <v>6118</v>
      </c>
      <c r="E1844" s="52" t="s">
        <v>61</v>
      </c>
      <c r="F1844" s="52" t="s">
        <v>6042</v>
      </c>
    </row>
    <row r="1845" spans="1:6" ht="12" x14ac:dyDescent="0.2">
      <c r="A1845" s="65">
        <v>77224</v>
      </c>
      <c r="B1845" s="52" t="s">
        <v>1786</v>
      </c>
      <c r="C1845" s="52" t="s">
        <v>1787</v>
      </c>
      <c r="D1845" s="53" t="s">
        <v>6118</v>
      </c>
      <c r="E1845" s="52" t="s">
        <v>61</v>
      </c>
      <c r="F1845" s="52" t="s">
        <v>6042</v>
      </c>
    </row>
    <row r="1846" spans="1:6" ht="12" x14ac:dyDescent="0.2">
      <c r="A1846" s="65">
        <v>77225</v>
      </c>
      <c r="B1846" s="52" t="s">
        <v>56</v>
      </c>
      <c r="C1846" s="52" t="s">
        <v>6119</v>
      </c>
      <c r="D1846" s="53" t="s">
        <v>6120</v>
      </c>
      <c r="E1846" s="52" t="s">
        <v>56</v>
      </c>
      <c r="F1846" s="52" t="s">
        <v>6042</v>
      </c>
    </row>
    <row r="1847" spans="1:6" ht="12" x14ac:dyDescent="0.2">
      <c r="A1847" s="65">
        <v>77226</v>
      </c>
      <c r="B1847" s="52" t="s">
        <v>977</v>
      </c>
      <c r="C1847" s="52" t="s">
        <v>6121</v>
      </c>
      <c r="D1847" s="53" t="s">
        <v>6122</v>
      </c>
      <c r="E1847" s="52" t="s">
        <v>978</v>
      </c>
      <c r="F1847" s="52" t="s">
        <v>6042</v>
      </c>
    </row>
    <row r="1848" spans="1:6" ht="12" x14ac:dyDescent="0.2">
      <c r="A1848" s="65">
        <v>77251</v>
      </c>
      <c r="B1848" s="52" t="s">
        <v>1982</v>
      </c>
      <c r="C1848" s="52" t="s">
        <v>6123</v>
      </c>
      <c r="D1848" s="53" t="s">
        <v>6111</v>
      </c>
      <c r="E1848" s="52" t="s">
        <v>55</v>
      </c>
      <c r="F1848" s="52" t="s">
        <v>6042</v>
      </c>
    </row>
    <row r="1849" spans="1:6" ht="12" x14ac:dyDescent="0.2">
      <c r="A1849" s="65">
        <v>77267</v>
      </c>
      <c r="B1849" s="52" t="s">
        <v>1788</v>
      </c>
      <c r="C1849" s="52" t="s">
        <v>1789</v>
      </c>
      <c r="D1849" s="53" t="s">
        <v>6124</v>
      </c>
      <c r="E1849" s="52" t="s">
        <v>53</v>
      </c>
      <c r="F1849" s="52" t="s">
        <v>6042</v>
      </c>
    </row>
    <row r="1850" spans="1:6" ht="12" x14ac:dyDescent="0.2">
      <c r="A1850" s="65">
        <v>77314</v>
      </c>
      <c r="B1850" s="52" t="s">
        <v>1790</v>
      </c>
      <c r="C1850" s="52" t="s">
        <v>6125</v>
      </c>
      <c r="D1850" s="53" t="s">
        <v>6064</v>
      </c>
      <c r="E1850" s="52" t="s">
        <v>472</v>
      </c>
      <c r="F1850" s="52" t="s">
        <v>473</v>
      </c>
    </row>
    <row r="1851" spans="1:6" ht="12" x14ac:dyDescent="0.2">
      <c r="A1851" s="65">
        <v>77355</v>
      </c>
      <c r="B1851" s="52" t="s">
        <v>1244</v>
      </c>
      <c r="C1851" s="52" t="s">
        <v>6126</v>
      </c>
      <c r="D1851" s="53" t="s">
        <v>6127</v>
      </c>
      <c r="E1851" s="52" t="s">
        <v>6128</v>
      </c>
      <c r="F1851" s="52" t="s">
        <v>473</v>
      </c>
    </row>
    <row r="1852" spans="1:6" ht="12" x14ac:dyDescent="0.2">
      <c r="A1852" s="65">
        <v>77360</v>
      </c>
      <c r="B1852" s="52" t="s">
        <v>477</v>
      </c>
      <c r="C1852" s="52" t="s">
        <v>6129</v>
      </c>
      <c r="D1852" s="53" t="s">
        <v>6130</v>
      </c>
      <c r="E1852" s="52" t="s">
        <v>472</v>
      </c>
      <c r="F1852" s="52" t="s">
        <v>473</v>
      </c>
    </row>
    <row r="1853" spans="1:6" ht="12" x14ac:dyDescent="0.2">
      <c r="A1853" s="65">
        <v>77361</v>
      </c>
      <c r="B1853" s="52" t="s">
        <v>979</v>
      </c>
      <c r="C1853" s="52" t="s">
        <v>980</v>
      </c>
      <c r="D1853" s="53" t="s">
        <v>6131</v>
      </c>
      <c r="E1853" s="52" t="s">
        <v>475</v>
      </c>
      <c r="F1853" s="52" t="s">
        <v>473</v>
      </c>
    </row>
    <row r="1854" spans="1:6" ht="12" x14ac:dyDescent="0.2">
      <c r="A1854" s="65">
        <v>77362</v>
      </c>
      <c r="B1854" s="52" t="s">
        <v>1791</v>
      </c>
      <c r="C1854" s="52" t="s">
        <v>1792</v>
      </c>
      <c r="D1854" s="53" t="s">
        <v>6057</v>
      </c>
      <c r="E1854" s="52" t="s">
        <v>955</v>
      </c>
      <c r="F1854" s="52" t="s">
        <v>473</v>
      </c>
    </row>
    <row r="1855" spans="1:6" ht="12" x14ac:dyDescent="0.2">
      <c r="A1855" s="65">
        <v>77364</v>
      </c>
      <c r="B1855" s="52" t="s">
        <v>6132</v>
      </c>
      <c r="C1855" s="52" t="s">
        <v>6133</v>
      </c>
      <c r="D1855" s="53" t="s">
        <v>6134</v>
      </c>
      <c r="E1855" s="52" t="s">
        <v>1983</v>
      </c>
      <c r="F1855" s="52" t="s">
        <v>6042</v>
      </c>
    </row>
    <row r="1856" spans="1:6" ht="12" x14ac:dyDescent="0.2">
      <c r="A1856" s="65">
        <v>77366</v>
      </c>
      <c r="B1856" s="52" t="s">
        <v>981</v>
      </c>
      <c r="C1856" s="52" t="s">
        <v>6135</v>
      </c>
      <c r="D1856" s="53" t="s">
        <v>6136</v>
      </c>
      <c r="E1856" s="52" t="s">
        <v>475</v>
      </c>
      <c r="F1856" s="52" t="s">
        <v>473</v>
      </c>
    </row>
    <row r="1857" spans="1:6" ht="12" x14ac:dyDescent="0.2">
      <c r="A1857" s="65">
        <v>77368</v>
      </c>
      <c r="B1857" s="52" t="s">
        <v>1793</v>
      </c>
      <c r="C1857" s="52" t="s">
        <v>6137</v>
      </c>
      <c r="D1857" s="53" t="s">
        <v>6138</v>
      </c>
      <c r="E1857" s="52" t="s">
        <v>1793</v>
      </c>
      <c r="F1857" s="52" t="s">
        <v>6042</v>
      </c>
    </row>
    <row r="1858" spans="1:6" ht="12" x14ac:dyDescent="0.2">
      <c r="A1858" s="65">
        <v>77370</v>
      </c>
      <c r="B1858" s="52" t="s">
        <v>982</v>
      </c>
      <c r="C1858" s="52" t="s">
        <v>6058</v>
      </c>
      <c r="D1858" s="53" t="s">
        <v>6059</v>
      </c>
      <c r="E1858" s="52" t="s">
        <v>957</v>
      </c>
      <c r="F1858" s="52" t="s">
        <v>473</v>
      </c>
    </row>
    <row r="1859" spans="1:6" ht="12" x14ac:dyDescent="0.2">
      <c r="A1859" s="65">
        <v>77371</v>
      </c>
      <c r="B1859" s="52" t="s">
        <v>478</v>
      </c>
      <c r="C1859" s="52" t="s">
        <v>6063</v>
      </c>
      <c r="D1859" s="53" t="s">
        <v>6130</v>
      </c>
      <c r="E1859" s="52" t="s">
        <v>472</v>
      </c>
      <c r="F1859" s="52" t="s">
        <v>473</v>
      </c>
    </row>
    <row r="1860" spans="1:6" ht="12" x14ac:dyDescent="0.2">
      <c r="A1860" s="65">
        <v>77382</v>
      </c>
      <c r="B1860" s="52" t="s">
        <v>1916</v>
      </c>
      <c r="C1860" s="52" t="s">
        <v>6139</v>
      </c>
      <c r="D1860" s="53" t="s">
        <v>6122</v>
      </c>
      <c r="E1860" s="52" t="s">
        <v>978</v>
      </c>
      <c r="F1860" s="52" t="s">
        <v>6042</v>
      </c>
    </row>
    <row r="1861" spans="1:6" ht="12" x14ac:dyDescent="0.2">
      <c r="A1861" s="65">
        <v>77401</v>
      </c>
      <c r="B1861" s="52" t="s">
        <v>479</v>
      </c>
      <c r="C1861" s="52" t="s">
        <v>6140</v>
      </c>
      <c r="D1861" s="53" t="s">
        <v>6141</v>
      </c>
      <c r="E1861" s="52" t="s">
        <v>479</v>
      </c>
      <c r="F1861" s="52" t="s">
        <v>6042</v>
      </c>
    </row>
    <row r="1862" spans="1:6" ht="12" x14ac:dyDescent="0.2">
      <c r="A1862" s="65">
        <v>77402</v>
      </c>
      <c r="B1862" s="52" t="s">
        <v>480</v>
      </c>
      <c r="C1862" s="52" t="s">
        <v>6142</v>
      </c>
      <c r="D1862" s="53" t="s">
        <v>6143</v>
      </c>
      <c r="E1862" s="52" t="s">
        <v>481</v>
      </c>
      <c r="F1862" s="52" t="s">
        <v>6042</v>
      </c>
    </row>
    <row r="1863" spans="1:6" ht="12" x14ac:dyDescent="0.2">
      <c r="A1863" s="65">
        <v>77408</v>
      </c>
      <c r="B1863" s="52" t="s">
        <v>1794</v>
      </c>
      <c r="C1863" s="52" t="s">
        <v>6144</v>
      </c>
      <c r="D1863" s="53" t="s">
        <v>6111</v>
      </c>
      <c r="E1863" s="52" t="s">
        <v>55</v>
      </c>
      <c r="F1863" s="52" t="s">
        <v>6042</v>
      </c>
    </row>
    <row r="1864" spans="1:6" ht="12" x14ac:dyDescent="0.2">
      <c r="A1864" s="65">
        <v>77409</v>
      </c>
      <c r="B1864" s="52" t="s">
        <v>1795</v>
      </c>
      <c r="C1864" s="52" t="s">
        <v>1796</v>
      </c>
      <c r="D1864" s="53" t="s">
        <v>6145</v>
      </c>
      <c r="E1864" s="52" t="s">
        <v>1797</v>
      </c>
      <c r="F1864" s="52" t="s">
        <v>6042</v>
      </c>
    </row>
    <row r="1865" spans="1:6" ht="12" x14ac:dyDescent="0.2">
      <c r="A1865" s="65">
        <v>77415</v>
      </c>
      <c r="B1865" s="52" t="s">
        <v>1917</v>
      </c>
      <c r="C1865" s="52" t="s">
        <v>6146</v>
      </c>
      <c r="D1865" s="53" t="s">
        <v>6147</v>
      </c>
      <c r="E1865" s="52" t="s">
        <v>1918</v>
      </c>
      <c r="F1865" s="52" t="s">
        <v>6042</v>
      </c>
    </row>
    <row r="1866" spans="1:6" ht="12" x14ac:dyDescent="0.2">
      <c r="A1866" s="65">
        <v>77416</v>
      </c>
      <c r="B1866" s="52" t="s">
        <v>1798</v>
      </c>
      <c r="C1866" s="52" t="s">
        <v>1799</v>
      </c>
      <c r="D1866" s="53" t="s">
        <v>6148</v>
      </c>
      <c r="E1866" s="52" t="s">
        <v>61</v>
      </c>
      <c r="F1866" s="52" t="s">
        <v>6042</v>
      </c>
    </row>
    <row r="1867" spans="1:6" ht="12" x14ac:dyDescent="0.2">
      <c r="A1867" s="65">
        <v>77423</v>
      </c>
      <c r="B1867" s="52" t="s">
        <v>1986</v>
      </c>
      <c r="C1867" s="52" t="s">
        <v>6092</v>
      </c>
      <c r="D1867" s="53" t="s">
        <v>6093</v>
      </c>
      <c r="E1867" s="52" t="s">
        <v>6094</v>
      </c>
      <c r="F1867" s="52" t="s">
        <v>473</v>
      </c>
    </row>
    <row r="1868" spans="1:6" ht="12" x14ac:dyDescent="0.2">
      <c r="A1868" s="65">
        <v>77428</v>
      </c>
      <c r="B1868" s="52" t="s">
        <v>1800</v>
      </c>
      <c r="C1868" s="52" t="s">
        <v>1801</v>
      </c>
      <c r="D1868" s="53" t="s">
        <v>6149</v>
      </c>
      <c r="E1868" s="52" t="s">
        <v>1800</v>
      </c>
      <c r="F1868" s="52" t="s">
        <v>473</v>
      </c>
    </row>
    <row r="1869" spans="1:6" ht="12" x14ac:dyDescent="0.2">
      <c r="A1869" s="65">
        <v>77436</v>
      </c>
      <c r="B1869" s="52" t="s">
        <v>1802</v>
      </c>
      <c r="C1869" s="52" t="s">
        <v>6150</v>
      </c>
      <c r="D1869" s="53" t="s">
        <v>6059</v>
      </c>
      <c r="E1869" s="52" t="s">
        <v>957</v>
      </c>
      <c r="F1869" s="52" t="s">
        <v>473</v>
      </c>
    </row>
    <row r="1870" spans="1:6" ht="12" x14ac:dyDescent="0.2">
      <c r="A1870" s="65">
        <v>77437</v>
      </c>
      <c r="B1870" s="52" t="s">
        <v>482</v>
      </c>
      <c r="C1870" s="52" t="s">
        <v>6151</v>
      </c>
      <c r="D1870" s="53" t="s">
        <v>6047</v>
      </c>
      <c r="E1870" s="52" t="s">
        <v>475</v>
      </c>
      <c r="F1870" s="52" t="s">
        <v>473</v>
      </c>
    </row>
    <row r="1871" spans="1:6" ht="12" x14ac:dyDescent="0.2">
      <c r="A1871" s="65">
        <v>77442</v>
      </c>
      <c r="B1871" s="52" t="s">
        <v>1803</v>
      </c>
      <c r="C1871" s="52" t="s">
        <v>1804</v>
      </c>
      <c r="D1871" s="53" t="s">
        <v>6152</v>
      </c>
      <c r="E1871" s="52" t="s">
        <v>472</v>
      </c>
      <c r="F1871" s="52" t="s">
        <v>473</v>
      </c>
    </row>
    <row r="1872" spans="1:6" ht="12" x14ac:dyDescent="0.2">
      <c r="A1872" s="65">
        <v>77449</v>
      </c>
      <c r="B1872" s="52" t="s">
        <v>983</v>
      </c>
      <c r="C1872" s="52" t="s">
        <v>6056</v>
      </c>
      <c r="D1872" s="53" t="s">
        <v>6057</v>
      </c>
      <c r="E1872" s="52" t="s">
        <v>955</v>
      </c>
      <c r="F1872" s="52" t="s">
        <v>473</v>
      </c>
    </row>
    <row r="1873" spans="1:6" ht="12" x14ac:dyDescent="0.2">
      <c r="A1873" s="65">
        <v>77455</v>
      </c>
      <c r="B1873" s="52" t="s">
        <v>483</v>
      </c>
      <c r="C1873" s="52" t="s">
        <v>6153</v>
      </c>
      <c r="D1873" s="53" t="s">
        <v>6127</v>
      </c>
      <c r="E1873" s="52" t="s">
        <v>6128</v>
      </c>
      <c r="F1873" s="52" t="s">
        <v>473</v>
      </c>
    </row>
    <row r="1874" spans="1:6" ht="12" x14ac:dyDescent="0.2">
      <c r="A1874" s="65">
        <v>77456</v>
      </c>
      <c r="B1874" s="52" t="s">
        <v>53</v>
      </c>
      <c r="C1874" s="52" t="s">
        <v>6154</v>
      </c>
      <c r="D1874" s="53" t="s">
        <v>6100</v>
      </c>
      <c r="E1874" s="54" t="s">
        <v>53</v>
      </c>
      <c r="F1874" s="54" t="s">
        <v>6042</v>
      </c>
    </row>
    <row r="1875" spans="1:6" ht="12" x14ac:dyDescent="0.2">
      <c r="A1875" s="65">
        <v>77457</v>
      </c>
      <c r="B1875" s="52" t="s">
        <v>1598</v>
      </c>
      <c r="C1875" s="52" t="s">
        <v>6155</v>
      </c>
      <c r="D1875" s="53" t="s">
        <v>6156</v>
      </c>
      <c r="E1875" s="52" t="s">
        <v>1984</v>
      </c>
      <c r="F1875" s="52" t="s">
        <v>6042</v>
      </c>
    </row>
    <row r="1876" spans="1:6" ht="12" x14ac:dyDescent="0.2">
      <c r="A1876" s="65">
        <v>77463</v>
      </c>
      <c r="B1876" s="52" t="s">
        <v>6157</v>
      </c>
      <c r="C1876" s="52" t="s">
        <v>6158</v>
      </c>
      <c r="D1876" s="53" t="s">
        <v>6127</v>
      </c>
      <c r="E1876" s="52" t="s">
        <v>6128</v>
      </c>
      <c r="F1876" s="52" t="s">
        <v>473</v>
      </c>
    </row>
    <row r="1877" spans="1:6" ht="12" x14ac:dyDescent="0.2">
      <c r="A1877" s="65">
        <v>77465</v>
      </c>
      <c r="B1877" s="52" t="s">
        <v>60</v>
      </c>
      <c r="C1877" s="52" t="s">
        <v>6159</v>
      </c>
      <c r="D1877" s="53" t="s">
        <v>6107</v>
      </c>
      <c r="E1877" s="52" t="s">
        <v>60</v>
      </c>
      <c r="F1877" s="52" t="s">
        <v>6042</v>
      </c>
    </row>
    <row r="1878" spans="1:6" ht="12" x14ac:dyDescent="0.2">
      <c r="A1878" s="65">
        <v>77470</v>
      </c>
      <c r="B1878" s="52" t="s">
        <v>1805</v>
      </c>
      <c r="C1878" s="52" t="s">
        <v>1806</v>
      </c>
      <c r="D1878" s="53" t="s">
        <v>6149</v>
      </c>
      <c r="E1878" s="52" t="s">
        <v>1800</v>
      </c>
      <c r="F1878" s="52" t="s">
        <v>473</v>
      </c>
    </row>
    <row r="1879" spans="1:6" ht="12" x14ac:dyDescent="0.2">
      <c r="A1879" s="65">
        <v>77476</v>
      </c>
      <c r="B1879" s="52" t="s">
        <v>6160</v>
      </c>
      <c r="C1879" s="52" t="s">
        <v>6161</v>
      </c>
      <c r="D1879" s="53" t="s">
        <v>6067</v>
      </c>
      <c r="E1879" s="52" t="s">
        <v>6162</v>
      </c>
      <c r="F1879" s="52" t="s">
        <v>473</v>
      </c>
    </row>
    <row r="1880" spans="1:6" ht="12" x14ac:dyDescent="0.2">
      <c r="A1880" s="65">
        <v>77482</v>
      </c>
      <c r="B1880" s="52" t="s">
        <v>1807</v>
      </c>
      <c r="C1880" s="52" t="s">
        <v>6163</v>
      </c>
      <c r="D1880" s="53" t="s">
        <v>6136</v>
      </c>
      <c r="E1880" s="52" t="s">
        <v>475</v>
      </c>
      <c r="F1880" s="52" t="s">
        <v>473</v>
      </c>
    </row>
    <row r="1881" spans="1:6" ht="12" x14ac:dyDescent="0.2">
      <c r="A1881" s="65">
        <v>77487</v>
      </c>
      <c r="B1881" s="52" t="s">
        <v>1808</v>
      </c>
      <c r="C1881" s="52" t="s">
        <v>6164</v>
      </c>
      <c r="D1881" s="53" t="s">
        <v>6165</v>
      </c>
      <c r="E1881" s="52" t="s">
        <v>1800</v>
      </c>
      <c r="F1881" s="52" t="s">
        <v>473</v>
      </c>
    </row>
    <row r="1882" spans="1:6" ht="12" x14ac:dyDescent="0.2">
      <c r="A1882" s="65">
        <v>77493</v>
      </c>
      <c r="B1882" s="52" t="s">
        <v>484</v>
      </c>
      <c r="C1882" s="52" t="s">
        <v>6166</v>
      </c>
      <c r="D1882" s="53" t="s">
        <v>6167</v>
      </c>
      <c r="E1882" s="52" t="s">
        <v>6168</v>
      </c>
      <c r="F1882" s="52" t="s">
        <v>6042</v>
      </c>
    </row>
    <row r="1883" spans="1:6" ht="12" x14ac:dyDescent="0.2">
      <c r="A1883" s="65">
        <v>77495</v>
      </c>
      <c r="B1883" s="52" t="s">
        <v>1809</v>
      </c>
      <c r="C1883" s="52" t="s">
        <v>1810</v>
      </c>
      <c r="D1883" s="53" t="s">
        <v>6169</v>
      </c>
      <c r="E1883" s="52" t="s">
        <v>1811</v>
      </c>
      <c r="F1883" s="52" t="s">
        <v>473</v>
      </c>
    </row>
    <row r="1884" spans="1:6" ht="12" x14ac:dyDescent="0.2">
      <c r="A1884" s="65">
        <v>77498</v>
      </c>
      <c r="B1884" s="52" t="s">
        <v>485</v>
      </c>
      <c r="C1884" s="52" t="s">
        <v>486</v>
      </c>
      <c r="D1884" s="53" t="s">
        <v>6170</v>
      </c>
      <c r="E1884" s="52" t="s">
        <v>487</v>
      </c>
      <c r="F1884" s="52" t="s">
        <v>473</v>
      </c>
    </row>
    <row r="1885" spans="1:6" ht="12" x14ac:dyDescent="0.2">
      <c r="A1885" s="65">
        <v>77501</v>
      </c>
      <c r="B1885" s="52" t="s">
        <v>488</v>
      </c>
      <c r="C1885" s="52" t="s">
        <v>6171</v>
      </c>
      <c r="D1885" s="53" t="s">
        <v>6172</v>
      </c>
      <c r="E1885" s="52" t="s">
        <v>489</v>
      </c>
      <c r="F1885" s="52" t="s">
        <v>6042</v>
      </c>
    </row>
    <row r="1886" spans="1:6" ht="12" x14ac:dyDescent="0.2">
      <c r="A1886" s="65">
        <v>77525</v>
      </c>
      <c r="B1886" s="52" t="s">
        <v>1925</v>
      </c>
      <c r="C1886" s="52" t="s">
        <v>6173</v>
      </c>
      <c r="D1886" s="53" t="s">
        <v>6174</v>
      </c>
      <c r="E1886" s="52" t="s">
        <v>6175</v>
      </c>
      <c r="F1886" s="52" t="s">
        <v>473</v>
      </c>
    </row>
    <row r="1887" spans="1:6" ht="12" x14ac:dyDescent="0.2">
      <c r="A1887" s="65">
        <v>77531</v>
      </c>
      <c r="B1887" s="52" t="s">
        <v>1245</v>
      </c>
      <c r="C1887" s="52" t="s">
        <v>6176</v>
      </c>
      <c r="D1887" s="53" t="s">
        <v>6177</v>
      </c>
      <c r="E1887" s="52" t="s">
        <v>1246</v>
      </c>
      <c r="F1887" s="52" t="s">
        <v>6042</v>
      </c>
    </row>
    <row r="1888" spans="1:6" ht="12" x14ac:dyDescent="0.2">
      <c r="A1888" s="65">
        <v>77547</v>
      </c>
      <c r="B1888" s="52" t="s">
        <v>6178</v>
      </c>
      <c r="C1888" s="52" t="s">
        <v>6179</v>
      </c>
      <c r="D1888" s="53" t="s">
        <v>6180</v>
      </c>
      <c r="E1888" s="52" t="s">
        <v>475</v>
      </c>
      <c r="F1888" s="52" t="s">
        <v>473</v>
      </c>
    </row>
    <row r="1889" spans="1:6" ht="12" x14ac:dyDescent="0.2">
      <c r="A1889" s="65">
        <v>80001</v>
      </c>
      <c r="B1889" s="52" t="s">
        <v>1964</v>
      </c>
      <c r="C1889" s="52" t="s">
        <v>6181</v>
      </c>
      <c r="D1889" s="53" t="s">
        <v>2859</v>
      </c>
      <c r="E1889" s="52" t="s">
        <v>1045</v>
      </c>
      <c r="F1889" s="52" t="s">
        <v>108</v>
      </c>
    </row>
    <row r="1890" spans="1:6" ht="12" x14ac:dyDescent="0.2">
      <c r="A1890" s="65">
        <v>80002</v>
      </c>
      <c r="B1890" s="52" t="s">
        <v>1951</v>
      </c>
      <c r="C1890" s="52" t="s">
        <v>1952</v>
      </c>
      <c r="D1890" s="53" t="s">
        <v>2440</v>
      </c>
      <c r="E1890" s="52" t="s">
        <v>494</v>
      </c>
      <c r="F1890" s="52" t="s">
        <v>48</v>
      </c>
    </row>
    <row r="1891" spans="1:6" ht="12" x14ac:dyDescent="0.2">
      <c r="A1891" s="65">
        <v>80004</v>
      </c>
      <c r="B1891" s="52" t="s">
        <v>6182</v>
      </c>
      <c r="C1891" s="52" t="s">
        <v>1641</v>
      </c>
      <c r="D1891" s="53" t="s">
        <v>3004</v>
      </c>
      <c r="E1891" s="52" t="s">
        <v>1034</v>
      </c>
      <c r="F1891" s="52" t="s">
        <v>135</v>
      </c>
    </row>
    <row r="1892" spans="1:6" ht="12" x14ac:dyDescent="0.2">
      <c r="A1892" s="65">
        <v>80005</v>
      </c>
      <c r="B1892" s="52" t="s">
        <v>6183</v>
      </c>
      <c r="C1892" s="52" t="s">
        <v>6184</v>
      </c>
      <c r="D1892" s="53" t="s">
        <v>2581</v>
      </c>
      <c r="E1892" s="52" t="s">
        <v>168</v>
      </c>
      <c r="F1892" s="52" t="s">
        <v>108</v>
      </c>
    </row>
    <row r="1893" spans="1:6" ht="12" x14ac:dyDescent="0.2">
      <c r="A1893" s="65">
        <v>80006</v>
      </c>
      <c r="B1893" s="52" t="s">
        <v>6185</v>
      </c>
      <c r="C1893" s="52" t="s">
        <v>6186</v>
      </c>
      <c r="D1893" s="53" t="s">
        <v>2711</v>
      </c>
      <c r="E1893" s="52" t="s">
        <v>1200</v>
      </c>
      <c r="F1893" s="52" t="s">
        <v>116</v>
      </c>
    </row>
    <row r="1894" spans="1:6" ht="12" x14ac:dyDescent="0.2">
      <c r="A1894" s="65">
        <v>80007</v>
      </c>
      <c r="B1894" s="52" t="s">
        <v>1944</v>
      </c>
      <c r="C1894" s="52" t="s">
        <v>6187</v>
      </c>
      <c r="D1894" s="53" t="s">
        <v>3573</v>
      </c>
      <c r="E1894" s="52" t="s">
        <v>48</v>
      </c>
      <c r="F1894" s="52" t="s">
        <v>48</v>
      </c>
    </row>
    <row r="1895" spans="1:6" ht="12" x14ac:dyDescent="0.2">
      <c r="A1895" s="65">
        <v>85002</v>
      </c>
      <c r="B1895" s="52" t="s">
        <v>490</v>
      </c>
      <c r="C1895" s="52" t="s">
        <v>6188</v>
      </c>
      <c r="D1895" s="53" t="s">
        <v>6189</v>
      </c>
      <c r="E1895" s="52" t="s">
        <v>491</v>
      </c>
      <c r="F1895" s="52" t="s">
        <v>491</v>
      </c>
    </row>
    <row r="1896" spans="1:6" ht="12" x14ac:dyDescent="0.2">
      <c r="A1896" s="65">
        <v>85003</v>
      </c>
      <c r="B1896" s="52" t="s">
        <v>984</v>
      </c>
      <c r="C1896" s="52" t="s">
        <v>985</v>
      </c>
      <c r="D1896" s="53" t="s">
        <v>6190</v>
      </c>
      <c r="E1896" s="52" t="s">
        <v>986</v>
      </c>
      <c r="F1896" s="52" t="s">
        <v>986</v>
      </c>
    </row>
    <row r="1897" spans="1:6" ht="12" x14ac:dyDescent="0.2">
      <c r="A1897" s="65">
        <v>85022</v>
      </c>
      <c r="B1897" s="52" t="s">
        <v>987</v>
      </c>
      <c r="C1897" s="52" t="s">
        <v>988</v>
      </c>
      <c r="D1897" s="53" t="s">
        <v>6190</v>
      </c>
      <c r="E1897" s="52" t="s">
        <v>986</v>
      </c>
      <c r="F1897" s="52" t="s">
        <v>986</v>
      </c>
    </row>
    <row r="1898" spans="1:6" ht="12" x14ac:dyDescent="0.2">
      <c r="A1898" s="65">
        <v>85023</v>
      </c>
      <c r="B1898" s="52" t="s">
        <v>6191</v>
      </c>
      <c r="C1898" s="52" t="s">
        <v>6192</v>
      </c>
      <c r="D1898" s="53" t="s">
        <v>6193</v>
      </c>
      <c r="E1898" s="52" t="s">
        <v>6194</v>
      </c>
      <c r="F1898" s="52" t="s">
        <v>6194</v>
      </c>
    </row>
    <row r="1899" spans="1:6" ht="12" x14ac:dyDescent="0.2">
      <c r="A1899" s="65">
        <v>85025</v>
      </c>
      <c r="B1899" s="52" t="s">
        <v>1247</v>
      </c>
      <c r="C1899" s="52" t="s">
        <v>6195</v>
      </c>
      <c r="D1899" s="53" t="s">
        <v>6189</v>
      </c>
      <c r="E1899" s="52" t="s">
        <v>491</v>
      </c>
      <c r="F1899" s="52" t="s">
        <v>491</v>
      </c>
    </row>
    <row r="1900" spans="1:6" ht="12" x14ac:dyDescent="0.2">
      <c r="A1900" s="65">
        <v>85026</v>
      </c>
      <c r="B1900" s="52" t="s">
        <v>989</v>
      </c>
      <c r="C1900" s="52" t="s">
        <v>990</v>
      </c>
      <c r="D1900" s="53" t="s">
        <v>6190</v>
      </c>
      <c r="E1900" s="52" t="s">
        <v>986</v>
      </c>
      <c r="F1900" s="52" t="s">
        <v>986</v>
      </c>
    </row>
    <row r="1901" spans="1:6" ht="12" x14ac:dyDescent="0.2">
      <c r="A1901" s="65">
        <v>85027</v>
      </c>
      <c r="B1901" s="52" t="s">
        <v>6196</v>
      </c>
      <c r="C1901" s="52" t="s">
        <v>6197</v>
      </c>
      <c r="D1901" s="53"/>
      <c r="E1901" s="52" t="s">
        <v>6194</v>
      </c>
      <c r="F1901" s="52" t="s">
        <v>6194</v>
      </c>
    </row>
    <row r="1902" spans="1:6" ht="12" x14ac:dyDescent="0.2">
      <c r="A1902" s="65">
        <v>85028</v>
      </c>
      <c r="B1902" s="52" t="s">
        <v>6198</v>
      </c>
      <c r="C1902" s="52" t="s">
        <v>6199</v>
      </c>
      <c r="D1902" s="53"/>
      <c r="E1902" s="52" t="s">
        <v>6194</v>
      </c>
      <c r="F1902" s="52" t="s">
        <v>6194</v>
      </c>
    </row>
    <row r="1903" spans="1:6" ht="12" x14ac:dyDescent="0.2">
      <c r="A1903" s="65">
        <v>85029</v>
      </c>
      <c r="B1903" s="52" t="s">
        <v>6200</v>
      </c>
      <c r="C1903" s="52" t="s">
        <v>6201</v>
      </c>
      <c r="D1903" s="53"/>
      <c r="E1903" s="52" t="s">
        <v>6194</v>
      </c>
      <c r="F1903" s="52" t="s">
        <v>6194</v>
      </c>
    </row>
    <row r="1904" spans="1:6" ht="12" x14ac:dyDescent="0.2">
      <c r="A1904" s="65">
        <v>85031</v>
      </c>
      <c r="B1904" s="52" t="s">
        <v>6202</v>
      </c>
      <c r="C1904" s="52" t="s">
        <v>6203</v>
      </c>
      <c r="D1904" s="53"/>
      <c r="E1904" s="52" t="s">
        <v>6194</v>
      </c>
      <c r="F1904" s="52" t="s">
        <v>6194</v>
      </c>
    </row>
    <row r="1905" spans="1:6" ht="12" x14ac:dyDescent="0.2">
      <c r="A1905" s="65">
        <v>85032</v>
      </c>
      <c r="B1905" s="52" t="s">
        <v>284</v>
      </c>
      <c r="C1905" s="52" t="s">
        <v>1812</v>
      </c>
      <c r="D1905" s="53" t="s">
        <v>6190</v>
      </c>
      <c r="E1905" s="52" t="s">
        <v>986</v>
      </c>
      <c r="F1905" s="52" t="s">
        <v>986</v>
      </c>
    </row>
    <row r="1906" spans="1:6" ht="12" x14ac:dyDescent="0.2">
      <c r="A1906" s="65">
        <v>85036</v>
      </c>
      <c r="B1906" s="52" t="s">
        <v>6204</v>
      </c>
      <c r="C1906" s="52" t="s">
        <v>6205</v>
      </c>
      <c r="D1906" s="53"/>
      <c r="E1906" s="52" t="s">
        <v>6194</v>
      </c>
      <c r="F1906" s="52" t="s">
        <v>6194</v>
      </c>
    </row>
    <row r="1907" spans="1:6" ht="12" x14ac:dyDescent="0.2">
      <c r="A1907" s="65">
        <v>85038</v>
      </c>
      <c r="B1907" s="52" t="s">
        <v>6206</v>
      </c>
      <c r="C1907" s="52" t="s">
        <v>6207</v>
      </c>
      <c r="D1907" s="53" t="s">
        <v>6189</v>
      </c>
      <c r="E1907" s="52" t="s">
        <v>491</v>
      </c>
      <c r="F1907" s="52" t="s">
        <v>491</v>
      </c>
    </row>
    <row r="1908" spans="1:6" ht="12" x14ac:dyDescent="0.2">
      <c r="A1908" s="65">
        <v>86001</v>
      </c>
      <c r="B1908" s="52" t="s">
        <v>6208</v>
      </c>
      <c r="C1908" s="52" t="s">
        <v>6209</v>
      </c>
      <c r="D1908" s="53"/>
      <c r="E1908" s="52" t="s">
        <v>6210</v>
      </c>
      <c r="F1908" s="52" t="s">
        <v>6210</v>
      </c>
    </row>
    <row r="1909" spans="1:6" ht="12" x14ac:dyDescent="0.2">
      <c r="A1909" s="65">
        <v>86003</v>
      </c>
      <c r="B1909" s="52" t="s">
        <v>6211</v>
      </c>
      <c r="C1909" s="52" t="s">
        <v>6212</v>
      </c>
      <c r="D1909" s="53"/>
      <c r="E1909" s="52" t="s">
        <v>6211</v>
      </c>
      <c r="F1909" s="52" t="s">
        <v>6211</v>
      </c>
    </row>
    <row r="1910" spans="1:6" ht="12" x14ac:dyDescent="0.2">
      <c r="A1910" s="65">
        <v>86007</v>
      </c>
      <c r="B1910" s="52" t="s">
        <v>428</v>
      </c>
      <c r="C1910" s="52" t="s">
        <v>6213</v>
      </c>
      <c r="D1910" s="53"/>
      <c r="E1910" s="52" t="s">
        <v>6214</v>
      </c>
      <c r="F1910" s="52" t="s">
        <v>6214</v>
      </c>
    </row>
    <row r="1911" spans="1:6" ht="12" x14ac:dyDescent="0.2">
      <c r="A1911" s="65">
        <v>86008</v>
      </c>
      <c r="B1911" s="52" t="s">
        <v>6215</v>
      </c>
      <c r="C1911" s="52" t="s">
        <v>6216</v>
      </c>
      <c r="D1911" s="53"/>
      <c r="E1911" s="52" t="s">
        <v>6214</v>
      </c>
      <c r="F1911" s="52" t="s">
        <v>6214</v>
      </c>
    </row>
    <row r="1912" spans="1:6" ht="12" x14ac:dyDescent="0.2">
      <c r="A1912" s="65">
        <v>86009</v>
      </c>
      <c r="B1912" s="52" t="s">
        <v>6217</v>
      </c>
      <c r="C1912" s="52" t="s">
        <v>6218</v>
      </c>
      <c r="D1912" s="53"/>
      <c r="E1912" s="52" t="s">
        <v>6211</v>
      </c>
      <c r="F1912" s="52" t="s">
        <v>6211</v>
      </c>
    </row>
    <row r="1913" spans="1:6" ht="12" x14ac:dyDescent="0.2">
      <c r="A1913" s="65">
        <v>86010</v>
      </c>
      <c r="B1913" s="52" t="s">
        <v>6219</v>
      </c>
      <c r="C1913" s="52" t="s">
        <v>6220</v>
      </c>
      <c r="D1913" s="53"/>
      <c r="E1913" s="52" t="s">
        <v>6221</v>
      </c>
      <c r="F1913" s="52" t="s">
        <v>6221</v>
      </c>
    </row>
    <row r="1914" spans="1:6" ht="12" x14ac:dyDescent="0.2">
      <c r="A1914" s="65">
        <v>86011</v>
      </c>
      <c r="B1914" s="52" t="s">
        <v>6222</v>
      </c>
      <c r="C1914" s="52" t="s">
        <v>6223</v>
      </c>
      <c r="D1914" s="53"/>
      <c r="E1914" s="52" t="s">
        <v>6222</v>
      </c>
      <c r="F1914" s="52" t="s">
        <v>6222</v>
      </c>
    </row>
    <row r="1915" spans="1:6" ht="12" x14ac:dyDescent="0.2">
      <c r="A1915" s="65">
        <v>86012</v>
      </c>
      <c r="B1915" s="52" t="s">
        <v>6224</v>
      </c>
      <c r="C1915" s="52" t="s">
        <v>6225</v>
      </c>
      <c r="D1915" s="53"/>
      <c r="E1915" s="52" t="s">
        <v>6224</v>
      </c>
      <c r="F1915" s="52" t="s">
        <v>6224</v>
      </c>
    </row>
    <row r="1916" spans="1:6" ht="12" x14ac:dyDescent="0.2">
      <c r="A1916" s="65">
        <v>86013</v>
      </c>
      <c r="B1916" s="52" t="s">
        <v>6226</v>
      </c>
      <c r="C1916" s="52" t="s">
        <v>6227</v>
      </c>
      <c r="D1916" s="53"/>
      <c r="E1916" s="52" t="s">
        <v>6214</v>
      </c>
      <c r="F1916" s="52" t="s">
        <v>6214</v>
      </c>
    </row>
    <row r="1917" spans="1:6" ht="12" x14ac:dyDescent="0.2">
      <c r="A1917" s="65">
        <v>86014</v>
      </c>
      <c r="B1917" s="52" t="s">
        <v>6228</v>
      </c>
      <c r="C1917" s="52" t="s">
        <v>6229</v>
      </c>
      <c r="D1917" s="53"/>
      <c r="E1917" s="52" t="s">
        <v>6214</v>
      </c>
      <c r="F1917" s="52" t="s">
        <v>6214</v>
      </c>
    </row>
    <row r="1918" spans="1:6" ht="12" x14ac:dyDescent="0.2">
      <c r="A1918" s="65">
        <v>86015</v>
      </c>
      <c r="B1918" s="52" t="s">
        <v>6230</v>
      </c>
      <c r="C1918" s="52" t="s">
        <v>6231</v>
      </c>
      <c r="D1918" s="53"/>
      <c r="E1918" s="52" t="s">
        <v>6211</v>
      </c>
      <c r="F1918" s="52" t="s">
        <v>6211</v>
      </c>
    </row>
    <row r="1919" spans="1:6" ht="12" x14ac:dyDescent="0.2">
      <c r="A1919" s="65">
        <v>86016</v>
      </c>
      <c r="B1919" s="52" t="s">
        <v>6232</v>
      </c>
      <c r="C1919" s="52" t="s">
        <v>6233</v>
      </c>
      <c r="D1919" s="53"/>
      <c r="E1919" s="52" t="s">
        <v>6210</v>
      </c>
      <c r="F1919" s="52" t="s">
        <v>6210</v>
      </c>
    </row>
    <row r="1920" spans="1:6" ht="12" x14ac:dyDescent="0.2">
      <c r="A1920" s="65">
        <v>86017</v>
      </c>
      <c r="B1920" s="52" t="s">
        <v>6234</v>
      </c>
      <c r="C1920" s="52" t="s">
        <v>6235</v>
      </c>
      <c r="D1920" s="53"/>
      <c r="E1920" s="52" t="s">
        <v>6234</v>
      </c>
      <c r="F1920" s="52" t="s">
        <v>6214</v>
      </c>
    </row>
    <row r="1921" spans="1:6" ht="12" x14ac:dyDescent="0.2">
      <c r="A1921" s="65">
        <v>86018</v>
      </c>
      <c r="B1921" s="52" t="s">
        <v>6236</v>
      </c>
      <c r="C1921" s="52" t="s">
        <v>6218</v>
      </c>
      <c r="D1921" s="53" t="s">
        <v>6237</v>
      </c>
      <c r="E1921" s="52" t="s">
        <v>6211</v>
      </c>
      <c r="F1921" s="52" t="s">
        <v>6211</v>
      </c>
    </row>
    <row r="1922" spans="1:6" ht="12" x14ac:dyDescent="0.2">
      <c r="A1922" s="65">
        <v>86019</v>
      </c>
      <c r="B1922" s="52" t="s">
        <v>6238</v>
      </c>
      <c r="C1922" s="52" t="s">
        <v>6218</v>
      </c>
      <c r="D1922" s="53" t="s">
        <v>6237</v>
      </c>
      <c r="E1922" s="52" t="s">
        <v>6211</v>
      </c>
      <c r="F1922" s="52" t="s">
        <v>6211</v>
      </c>
    </row>
    <row r="1923" spans="1:6" ht="12" x14ac:dyDescent="0.2">
      <c r="A1923" s="65">
        <v>95423</v>
      </c>
      <c r="B1923" s="52" t="s">
        <v>6239</v>
      </c>
      <c r="C1923" s="52" t="s">
        <v>6240</v>
      </c>
      <c r="D1923" s="53" t="s">
        <v>6241</v>
      </c>
      <c r="E1923" s="52" t="s">
        <v>6242</v>
      </c>
      <c r="F1923" s="52" t="s">
        <v>6243</v>
      </c>
    </row>
    <row r="1924" spans="1:6" ht="12" x14ac:dyDescent="0.2">
      <c r="A1924" s="65">
        <v>95424</v>
      </c>
      <c r="B1924" s="52" t="s">
        <v>6244</v>
      </c>
      <c r="C1924" s="52" t="s">
        <v>6240</v>
      </c>
      <c r="D1924" s="53" t="s">
        <v>6241</v>
      </c>
      <c r="E1924" s="52" t="s">
        <v>6242</v>
      </c>
      <c r="F1924" s="52" t="s">
        <v>6243</v>
      </c>
    </row>
    <row r="1925" spans="1:6" ht="12" x14ac:dyDescent="0.2">
      <c r="A1925" s="65">
        <v>99804</v>
      </c>
      <c r="B1925" s="52" t="s">
        <v>492</v>
      </c>
      <c r="C1925" s="52" t="s">
        <v>6245</v>
      </c>
      <c r="D1925" s="53" t="s">
        <v>3388</v>
      </c>
      <c r="E1925" s="52" t="s">
        <v>493</v>
      </c>
      <c r="F1925" s="52" t="s">
        <v>152</v>
      </c>
    </row>
    <row r="1926" spans="1:6" ht="12" x14ac:dyDescent="0.2">
      <c r="A1926" s="65">
        <v>99983</v>
      </c>
      <c r="B1926" s="52" t="s">
        <v>6246</v>
      </c>
      <c r="C1926" s="52" t="s">
        <v>6247</v>
      </c>
      <c r="D1926" s="53"/>
      <c r="E1926" s="52" t="s">
        <v>6248</v>
      </c>
      <c r="F1926" s="52" t="s">
        <v>6249</v>
      </c>
    </row>
    <row r="1927" spans="1:6" ht="12" x14ac:dyDescent="0.2">
      <c r="A1927" s="63">
        <v>11151</v>
      </c>
      <c r="B1927" s="52" t="s">
        <v>1394</v>
      </c>
      <c r="C1927" s="52" t="s">
        <v>1395</v>
      </c>
      <c r="D1927" s="53">
        <v>49121</v>
      </c>
      <c r="E1927" s="52" t="s">
        <v>1396</v>
      </c>
      <c r="F1927" s="52" t="s">
        <v>123</v>
      </c>
    </row>
    <row r="1928" spans="1:6" ht="12" x14ac:dyDescent="0.2">
      <c r="A1928" s="63">
        <v>10556</v>
      </c>
      <c r="B1928" s="52" t="s">
        <v>1367</v>
      </c>
      <c r="C1928" s="52" t="s">
        <v>1368</v>
      </c>
      <c r="D1928" s="53">
        <v>49523</v>
      </c>
      <c r="E1928" s="52" t="s">
        <v>1367</v>
      </c>
      <c r="F1928" s="52" t="s">
        <v>123</v>
      </c>
    </row>
    <row r="1929" spans="1:6" ht="12" x14ac:dyDescent="0.2">
      <c r="A1929" s="63">
        <v>34243</v>
      </c>
      <c r="B1929" s="52" t="s">
        <v>1761</v>
      </c>
      <c r="C1929" s="52" t="s">
        <v>1762</v>
      </c>
      <c r="D1929" s="53">
        <v>50695</v>
      </c>
      <c r="E1929" s="52" t="s">
        <v>1761</v>
      </c>
      <c r="F1929" s="52" t="s">
        <v>112</v>
      </c>
    </row>
    <row r="1930" spans="1:6" ht="12" x14ac:dyDescent="0.2">
      <c r="A1930" s="63">
        <v>7421</v>
      </c>
      <c r="B1930" s="52" t="s">
        <v>1343</v>
      </c>
      <c r="C1930" s="52" t="s">
        <v>1344</v>
      </c>
      <c r="D1930" s="53">
        <v>50780</v>
      </c>
      <c r="E1930" s="52" t="s">
        <v>1343</v>
      </c>
      <c r="F1930" s="52" t="s">
        <v>112</v>
      </c>
    </row>
    <row r="1931" spans="1:6" ht="12" x14ac:dyDescent="0.2">
      <c r="A1931" s="63">
        <v>16546</v>
      </c>
      <c r="B1931" s="52" t="s">
        <v>1566</v>
      </c>
      <c r="C1931" s="52" t="s">
        <v>1567</v>
      </c>
      <c r="D1931" s="53">
        <v>50250</v>
      </c>
      <c r="E1931" s="52" t="s">
        <v>1568</v>
      </c>
      <c r="F1931" s="52" t="s">
        <v>112</v>
      </c>
    </row>
    <row r="1932" spans="1:6" ht="12" x14ac:dyDescent="0.2">
      <c r="A1932" s="63">
        <v>22301</v>
      </c>
      <c r="B1932" s="52" t="s">
        <v>2061</v>
      </c>
      <c r="C1932" s="52" t="s">
        <v>2062</v>
      </c>
      <c r="D1932" s="53">
        <v>50830</v>
      </c>
      <c r="E1932" s="52" t="s">
        <v>2063</v>
      </c>
      <c r="F1932" s="52" t="s">
        <v>112</v>
      </c>
    </row>
    <row r="1933" spans="1:6" ht="12" x14ac:dyDescent="0.2">
      <c r="A1933" s="63">
        <v>7081</v>
      </c>
      <c r="B1933" s="52" t="s">
        <v>1326</v>
      </c>
      <c r="C1933" s="52" t="s">
        <v>1327</v>
      </c>
      <c r="D1933" s="53">
        <v>50153</v>
      </c>
      <c r="E1933" s="52" t="s">
        <v>1326</v>
      </c>
      <c r="F1933" s="52" t="s">
        <v>112</v>
      </c>
    </row>
    <row r="1934" spans="1:6" ht="12" x14ac:dyDescent="0.2">
      <c r="A1934" s="63">
        <v>4305</v>
      </c>
      <c r="B1934" s="52" t="s">
        <v>1278</v>
      </c>
      <c r="C1934" s="52" t="s">
        <v>1279</v>
      </c>
      <c r="D1934" s="53">
        <v>50011</v>
      </c>
      <c r="E1934" s="52" t="s">
        <v>112</v>
      </c>
      <c r="F1934" s="52" t="s">
        <v>112</v>
      </c>
    </row>
    <row r="1935" spans="1:6" ht="12" x14ac:dyDescent="0.2">
      <c r="A1935" s="63">
        <v>4271</v>
      </c>
      <c r="B1935" s="52" t="s">
        <v>1276</v>
      </c>
      <c r="C1935" s="52" t="s">
        <v>1277</v>
      </c>
      <c r="D1935" s="53">
        <v>50014</v>
      </c>
      <c r="E1935" s="52" t="s">
        <v>112</v>
      </c>
      <c r="F1935" s="52" t="s">
        <v>112</v>
      </c>
    </row>
    <row r="1936" spans="1:6" ht="12" x14ac:dyDescent="0.2">
      <c r="A1936" s="63">
        <v>12129</v>
      </c>
      <c r="B1936" s="52" t="s">
        <v>1437</v>
      </c>
      <c r="C1936" s="52" t="s">
        <v>1438</v>
      </c>
      <c r="D1936" s="53">
        <v>50193</v>
      </c>
      <c r="E1936" s="52" t="s">
        <v>1439</v>
      </c>
      <c r="F1936" s="52" t="s">
        <v>112</v>
      </c>
    </row>
    <row r="1937" spans="1:6" ht="12" x14ac:dyDescent="0.2">
      <c r="A1937" s="63">
        <v>13451</v>
      </c>
      <c r="B1937" s="52" t="s">
        <v>2064</v>
      </c>
      <c r="C1937" s="52" t="s">
        <v>1487</v>
      </c>
      <c r="D1937" s="53">
        <v>50410</v>
      </c>
      <c r="E1937" s="52" t="s">
        <v>1488</v>
      </c>
      <c r="F1937" s="52" t="s">
        <v>112</v>
      </c>
    </row>
    <row r="1938" spans="1:6" ht="12" x14ac:dyDescent="0.2">
      <c r="A1938" s="63">
        <v>19899</v>
      </c>
      <c r="B1938" s="52" t="s">
        <v>2065</v>
      </c>
      <c r="C1938" s="52" t="s">
        <v>2066</v>
      </c>
      <c r="D1938" s="53">
        <v>32630</v>
      </c>
      <c r="E1938" s="52" t="s">
        <v>2067</v>
      </c>
      <c r="F1938" s="52" t="s">
        <v>640</v>
      </c>
    </row>
    <row r="1939" spans="1:6" ht="12" x14ac:dyDescent="0.2">
      <c r="A1939" s="63">
        <v>16618</v>
      </c>
      <c r="B1939" s="52" t="s">
        <v>678</v>
      </c>
      <c r="C1939" s="52" t="s">
        <v>679</v>
      </c>
      <c r="D1939" s="53">
        <v>36214</v>
      </c>
      <c r="E1939" s="52" t="s">
        <v>680</v>
      </c>
      <c r="F1939" s="52" t="s">
        <v>1875</v>
      </c>
    </row>
    <row r="1940" spans="1:6" ht="12" x14ac:dyDescent="0.2">
      <c r="A1940" s="63">
        <v>12377</v>
      </c>
      <c r="B1940" s="52" t="s">
        <v>2068</v>
      </c>
      <c r="C1940" s="52" t="s">
        <v>1991</v>
      </c>
      <c r="D1940" s="53">
        <v>4700</v>
      </c>
      <c r="E1940" s="52" t="s">
        <v>2069</v>
      </c>
      <c r="F1940" s="52" t="s">
        <v>37</v>
      </c>
    </row>
    <row r="1941" spans="1:6" ht="12" x14ac:dyDescent="0.2">
      <c r="A1941" s="63">
        <v>12377</v>
      </c>
      <c r="B1941" s="52" t="s">
        <v>2070</v>
      </c>
      <c r="C1941" s="52" t="s">
        <v>1991</v>
      </c>
      <c r="D1941" s="53">
        <v>4700</v>
      </c>
      <c r="E1941" s="52" t="s">
        <v>2069</v>
      </c>
      <c r="F1941" s="52" t="s">
        <v>37</v>
      </c>
    </row>
    <row r="1942" spans="1:6" ht="12" x14ac:dyDescent="0.2">
      <c r="A1942" s="63">
        <v>33275</v>
      </c>
      <c r="B1942" s="52" t="s">
        <v>758</v>
      </c>
      <c r="C1942" s="52" t="s">
        <v>1912</v>
      </c>
      <c r="D1942" s="53">
        <v>8755</v>
      </c>
      <c r="E1942" s="54" t="s">
        <v>758</v>
      </c>
      <c r="F1942" s="54" t="s">
        <v>1862</v>
      </c>
    </row>
    <row r="1943" spans="1:6" ht="12" x14ac:dyDescent="0.2">
      <c r="A1943" s="63">
        <v>5625</v>
      </c>
      <c r="B1943" s="52" t="s">
        <v>1203</v>
      </c>
      <c r="C1943" s="52" t="s">
        <v>2036</v>
      </c>
      <c r="D1943" s="53">
        <v>31210</v>
      </c>
      <c r="E1943" s="52" t="s">
        <v>1203</v>
      </c>
      <c r="F1943" s="52" t="s">
        <v>97</v>
      </c>
    </row>
    <row r="1944" spans="1:6" ht="12" x14ac:dyDescent="0.2">
      <c r="A1944" s="63">
        <v>16005</v>
      </c>
      <c r="B1944" s="52" t="s">
        <v>2071</v>
      </c>
      <c r="C1944" s="52" t="s">
        <v>2072</v>
      </c>
      <c r="D1944" s="53">
        <v>28830</v>
      </c>
      <c r="E1944" s="52" t="s">
        <v>2071</v>
      </c>
      <c r="F1944" s="52" t="s">
        <v>84</v>
      </c>
    </row>
    <row r="1945" spans="1:6" ht="12" x14ac:dyDescent="0.2">
      <c r="A1945" s="63">
        <v>11551</v>
      </c>
      <c r="B1945" s="52" t="s">
        <v>2073</v>
      </c>
      <c r="C1945" s="52" t="s">
        <v>1996</v>
      </c>
      <c r="D1945" s="53">
        <v>47238</v>
      </c>
      <c r="E1945" s="52" t="s">
        <v>2074</v>
      </c>
      <c r="F1945" s="52" t="s">
        <v>179</v>
      </c>
    </row>
    <row r="1946" spans="1:6" ht="12" x14ac:dyDescent="0.2">
      <c r="A1946" s="63">
        <v>22904</v>
      </c>
      <c r="B1946" s="52" t="s">
        <v>2075</v>
      </c>
      <c r="C1946" s="52" t="s">
        <v>2076</v>
      </c>
      <c r="D1946" s="53">
        <v>15884</v>
      </c>
      <c r="E1946" s="52" t="s">
        <v>2075</v>
      </c>
      <c r="F1946" s="52" t="s">
        <v>1969</v>
      </c>
    </row>
    <row r="1947" spans="1:6" ht="12" x14ac:dyDescent="0.2">
      <c r="A1947" s="63">
        <v>33929</v>
      </c>
      <c r="B1947" s="52" t="s">
        <v>2077</v>
      </c>
      <c r="C1947" s="52" t="s">
        <v>2078</v>
      </c>
      <c r="D1947" s="53">
        <v>9451</v>
      </c>
      <c r="E1947" s="52" t="s">
        <v>2077</v>
      </c>
      <c r="F1947" s="52" t="s">
        <v>154</v>
      </c>
    </row>
    <row r="1948" spans="1:6" ht="12" x14ac:dyDescent="0.2">
      <c r="A1948" s="63">
        <v>11783</v>
      </c>
      <c r="B1948" s="52" t="s">
        <v>2079</v>
      </c>
      <c r="C1948" s="52" t="s">
        <v>2080</v>
      </c>
      <c r="D1948" s="53">
        <v>45260</v>
      </c>
      <c r="E1948" s="52" t="s">
        <v>2081</v>
      </c>
      <c r="F1948" s="52" t="s">
        <v>65</v>
      </c>
    </row>
    <row r="1949" spans="1:6" ht="12" x14ac:dyDescent="0.2">
      <c r="A1949" s="63">
        <v>7021</v>
      </c>
      <c r="B1949" s="52" t="s">
        <v>2082</v>
      </c>
      <c r="C1949" s="52" t="s">
        <v>2083</v>
      </c>
      <c r="D1949" s="53">
        <v>49149</v>
      </c>
      <c r="E1949" s="52" t="s">
        <v>2082</v>
      </c>
      <c r="F1949" s="52" t="s">
        <v>123</v>
      </c>
    </row>
    <row r="1950" spans="1:6" ht="12" x14ac:dyDescent="0.2">
      <c r="A1950" s="63">
        <v>16654</v>
      </c>
      <c r="B1950" s="52" t="s">
        <v>2084</v>
      </c>
      <c r="C1950" s="52" t="s">
        <v>2085</v>
      </c>
      <c r="D1950" s="53">
        <v>31192</v>
      </c>
      <c r="E1950" s="52" t="s">
        <v>2086</v>
      </c>
      <c r="F1950" s="52" t="s">
        <v>97</v>
      </c>
    </row>
    <row r="1951" spans="1:6" ht="12" x14ac:dyDescent="0.2">
      <c r="A1951" s="63">
        <v>16655</v>
      </c>
      <c r="B1951" s="52" t="s">
        <v>2087</v>
      </c>
      <c r="C1951" s="52" t="s">
        <v>2088</v>
      </c>
      <c r="D1951" s="53">
        <v>31192</v>
      </c>
      <c r="E1951" s="52" t="s">
        <v>2086</v>
      </c>
      <c r="F1951" s="52" t="s">
        <v>97</v>
      </c>
    </row>
    <row r="1952" spans="1:6" ht="12" x14ac:dyDescent="0.2">
      <c r="A1952" s="63">
        <v>12244</v>
      </c>
      <c r="B1952" s="52" t="s">
        <v>607</v>
      </c>
      <c r="C1952" s="52" t="s">
        <v>1990</v>
      </c>
      <c r="D1952" s="53">
        <v>45450</v>
      </c>
      <c r="E1952" s="52" t="s">
        <v>608</v>
      </c>
      <c r="F1952" s="52" t="s">
        <v>65</v>
      </c>
    </row>
    <row r="1953" spans="1:6" ht="12" x14ac:dyDescent="0.2">
      <c r="A1953" s="63">
        <v>7489</v>
      </c>
      <c r="B1953" s="52" t="s">
        <v>2089</v>
      </c>
      <c r="C1953" s="52" t="s">
        <v>1874</v>
      </c>
      <c r="D1953" s="53">
        <v>19420</v>
      </c>
      <c r="E1953" s="52" t="s">
        <v>1071</v>
      </c>
      <c r="F1953" s="52" t="s">
        <v>1871</v>
      </c>
    </row>
    <row r="1954" spans="1:6" ht="12" x14ac:dyDescent="0.2">
      <c r="A1954" s="63">
        <v>12151</v>
      </c>
      <c r="B1954" s="52" t="s">
        <v>2090</v>
      </c>
      <c r="C1954" s="52" t="s">
        <v>2091</v>
      </c>
      <c r="D1954" s="53">
        <v>28021</v>
      </c>
      <c r="E1954" s="52" t="s">
        <v>84</v>
      </c>
      <c r="F1954" s="52" t="s">
        <v>84</v>
      </c>
    </row>
    <row r="1955" spans="1:6" ht="12" x14ac:dyDescent="0.2">
      <c r="A1955" s="63">
        <v>18842</v>
      </c>
      <c r="B1955" s="52" t="s">
        <v>2092</v>
      </c>
      <c r="C1955" s="52" t="s">
        <v>2093</v>
      </c>
      <c r="D1955" s="53">
        <v>41400</v>
      </c>
      <c r="E1955" s="52" t="s">
        <v>2094</v>
      </c>
      <c r="F1955" s="52" t="s">
        <v>1865</v>
      </c>
    </row>
    <row r="1956" spans="1:6" ht="12" x14ac:dyDescent="0.2">
      <c r="A1956" s="63">
        <v>34159</v>
      </c>
      <c r="B1956" s="52" t="s">
        <v>2095</v>
      </c>
      <c r="C1956" s="52" t="s">
        <v>2096</v>
      </c>
      <c r="D1956" s="53">
        <v>30430</v>
      </c>
      <c r="E1956" s="52" t="s">
        <v>2097</v>
      </c>
      <c r="F1956" s="52" t="s">
        <v>174</v>
      </c>
    </row>
    <row r="1957" spans="1:6" ht="12" x14ac:dyDescent="0.2">
      <c r="A1957" s="63">
        <v>11665</v>
      </c>
      <c r="B1957" s="54" t="s">
        <v>591</v>
      </c>
      <c r="C1957" s="54" t="s">
        <v>1976</v>
      </c>
      <c r="D1957" s="53">
        <v>9391</v>
      </c>
      <c r="E1957" s="54" t="s">
        <v>592</v>
      </c>
      <c r="F1957" s="54" t="s">
        <v>154</v>
      </c>
    </row>
    <row r="1958" spans="1:6" ht="12" x14ac:dyDescent="0.2">
      <c r="A1958" s="63">
        <v>13406</v>
      </c>
      <c r="B1958" s="52" t="s">
        <v>222</v>
      </c>
      <c r="C1958" s="52" t="s">
        <v>1486</v>
      </c>
      <c r="D1958" s="53">
        <v>13700</v>
      </c>
      <c r="E1958" s="52" t="s">
        <v>498</v>
      </c>
      <c r="F1958" s="52" t="s">
        <v>211</v>
      </c>
    </row>
    <row r="1959" spans="1:6" ht="12" x14ac:dyDescent="0.2">
      <c r="A1959" s="64">
        <v>34219</v>
      </c>
      <c r="B1959" s="54" t="s">
        <v>908</v>
      </c>
      <c r="C1959" s="54" t="s">
        <v>1981</v>
      </c>
      <c r="D1959" s="53">
        <v>4510</v>
      </c>
      <c r="E1959" s="54" t="s">
        <v>908</v>
      </c>
      <c r="F1959" s="54" t="s">
        <v>37</v>
      </c>
    </row>
    <row r="1960" spans="1:6" ht="12" x14ac:dyDescent="0.2">
      <c r="A1960" s="64">
        <v>21884</v>
      </c>
      <c r="B1960" s="54" t="s">
        <v>2098</v>
      </c>
      <c r="C1960" s="54" t="s">
        <v>2099</v>
      </c>
      <c r="D1960" s="53">
        <v>39011</v>
      </c>
      <c r="E1960" s="54" t="s">
        <v>1161</v>
      </c>
      <c r="F1960" s="54" t="s">
        <v>42</v>
      </c>
    </row>
    <row r="1961" spans="1:6" ht="12" x14ac:dyDescent="0.2">
      <c r="A1961" s="64">
        <v>17996</v>
      </c>
      <c r="B1961" s="54" t="s">
        <v>2100</v>
      </c>
      <c r="C1961" s="54" t="s">
        <v>2101</v>
      </c>
      <c r="D1961" s="53">
        <v>39108</v>
      </c>
      <c r="E1961" s="54" t="s">
        <v>2102</v>
      </c>
      <c r="F1961" s="54" t="s">
        <v>1868</v>
      </c>
    </row>
    <row r="1962" spans="1:6" ht="12" x14ac:dyDescent="0.2">
      <c r="A1962" s="64">
        <v>26701</v>
      </c>
      <c r="B1962" s="54" t="s">
        <v>2103</v>
      </c>
      <c r="C1962" s="54" t="s">
        <v>2104</v>
      </c>
      <c r="D1962" s="53">
        <v>26701</v>
      </c>
      <c r="E1962" s="54" t="s">
        <v>332</v>
      </c>
      <c r="F1962" s="54" t="s">
        <v>332</v>
      </c>
    </row>
    <row r="1963" spans="1:6" ht="12" x14ac:dyDescent="0.2">
      <c r="A1963" s="64">
        <v>21883</v>
      </c>
      <c r="B1963" s="54" t="s">
        <v>2105</v>
      </c>
      <c r="C1963" s="54" t="s">
        <v>2106</v>
      </c>
      <c r="D1963" s="53">
        <v>39660</v>
      </c>
      <c r="E1963" s="54" t="s">
        <v>2105</v>
      </c>
      <c r="F1963" s="54" t="s">
        <v>42</v>
      </c>
    </row>
    <row r="1964" spans="1:6" ht="12" x14ac:dyDescent="0.2">
      <c r="A1964" s="64">
        <v>5969</v>
      </c>
      <c r="B1964" s="54" t="s">
        <v>2107</v>
      </c>
      <c r="C1964" s="54" t="s">
        <v>2108</v>
      </c>
      <c r="D1964" s="53">
        <v>41449</v>
      </c>
      <c r="E1964" s="54" t="s">
        <v>2109</v>
      </c>
      <c r="F1964" s="54" t="s">
        <v>152</v>
      </c>
    </row>
    <row r="1965" spans="1:6" ht="12" x14ac:dyDescent="0.2">
      <c r="A1965" s="64">
        <v>10243</v>
      </c>
      <c r="B1965" s="54" t="s">
        <v>2110</v>
      </c>
      <c r="C1965" s="54" t="s">
        <v>2111</v>
      </c>
      <c r="D1965" s="53">
        <v>41350</v>
      </c>
      <c r="E1965" s="54" t="s">
        <v>2112</v>
      </c>
      <c r="F1965" s="54" t="s">
        <v>152</v>
      </c>
    </row>
    <row r="1966" spans="1:6" ht="12" x14ac:dyDescent="0.2">
      <c r="A1966" s="64">
        <v>15506</v>
      </c>
      <c r="B1966" s="54" t="s">
        <v>2113</v>
      </c>
      <c r="C1966" s="54" t="s">
        <v>2114</v>
      </c>
      <c r="D1966" s="53">
        <v>41015</v>
      </c>
      <c r="E1966" s="54" t="s">
        <v>152</v>
      </c>
      <c r="F1966" s="54" t="s">
        <v>152</v>
      </c>
    </row>
    <row r="1967" spans="1:6" ht="12" x14ac:dyDescent="0.2">
      <c r="A1967" s="64">
        <v>19186</v>
      </c>
      <c r="B1967" s="54" t="s">
        <v>2115</v>
      </c>
      <c r="C1967" s="54" t="s">
        <v>2116</v>
      </c>
      <c r="D1967" s="53">
        <v>28412</v>
      </c>
      <c r="E1967" s="54" t="s">
        <v>1375</v>
      </c>
      <c r="F1967" s="54" t="s">
        <v>84</v>
      </c>
    </row>
    <row r="1968" spans="1:6" ht="12" x14ac:dyDescent="0.2">
      <c r="A1968" s="64">
        <v>20915</v>
      </c>
      <c r="B1968" s="54" t="s">
        <v>2117</v>
      </c>
      <c r="C1968" s="54" t="s">
        <v>2118</v>
      </c>
      <c r="D1968" s="53">
        <v>28830</v>
      </c>
      <c r="E1968" s="54" t="s">
        <v>2071</v>
      </c>
      <c r="F1968" s="54" t="s">
        <v>84</v>
      </c>
    </row>
    <row r="1969" spans="1:6" ht="12" x14ac:dyDescent="0.2">
      <c r="A1969" s="64">
        <v>22112</v>
      </c>
      <c r="B1969" s="54" t="s">
        <v>1913</v>
      </c>
      <c r="C1969" s="54" t="s">
        <v>2119</v>
      </c>
      <c r="D1969" s="53">
        <v>13600</v>
      </c>
      <c r="E1969" s="54" t="s">
        <v>1097</v>
      </c>
      <c r="F1969" s="54" t="s">
        <v>211</v>
      </c>
    </row>
    <row r="1970" spans="1:6" ht="12" x14ac:dyDescent="0.2">
      <c r="A1970" s="63">
        <v>15555</v>
      </c>
      <c r="B1970" s="52" t="s">
        <v>1527</v>
      </c>
      <c r="C1970" s="52" t="s">
        <v>1528</v>
      </c>
      <c r="D1970" s="53">
        <v>13400</v>
      </c>
      <c r="E1970" s="52" t="s">
        <v>1529</v>
      </c>
      <c r="F1970" s="52" t="s">
        <v>211</v>
      </c>
    </row>
    <row r="1971" spans="1:6" ht="12" x14ac:dyDescent="0.2">
      <c r="A1971" s="64">
        <v>11378</v>
      </c>
      <c r="B1971" s="54" t="s">
        <v>577</v>
      </c>
      <c r="C1971" s="54" t="s">
        <v>1989</v>
      </c>
      <c r="D1971" s="53">
        <v>10810</v>
      </c>
      <c r="E1971" s="54" t="s">
        <v>578</v>
      </c>
      <c r="F1971" s="54" t="s">
        <v>1866</v>
      </c>
    </row>
    <row r="1972" spans="1:6" ht="12" x14ac:dyDescent="0.2">
      <c r="A1972" s="64">
        <v>17994</v>
      </c>
      <c r="B1972" s="54" t="s">
        <v>2120</v>
      </c>
      <c r="C1972" s="54" t="s">
        <v>2121</v>
      </c>
      <c r="D1972" s="53">
        <v>39150</v>
      </c>
      <c r="E1972" s="54" t="s">
        <v>2122</v>
      </c>
      <c r="F1972" s="54" t="s">
        <v>1868</v>
      </c>
    </row>
    <row r="1973" spans="1:6" ht="12" x14ac:dyDescent="0.2">
      <c r="A1973" s="63">
        <v>11726</v>
      </c>
      <c r="B1973" s="52" t="s">
        <v>191</v>
      </c>
      <c r="C1973" s="52" t="s">
        <v>1876</v>
      </c>
      <c r="D1973" s="53">
        <v>28340</v>
      </c>
      <c r="E1973" s="54" t="s">
        <v>191</v>
      </c>
      <c r="F1973" s="54" t="s">
        <v>1863</v>
      </c>
    </row>
    <row r="1974" spans="1:6" ht="12" x14ac:dyDescent="0.2">
      <c r="A1974" s="64">
        <v>20914</v>
      </c>
      <c r="B1974" s="54" t="s">
        <v>2123</v>
      </c>
      <c r="C1974" s="54" t="s">
        <v>2124</v>
      </c>
      <c r="D1974" s="53">
        <v>36616</v>
      </c>
      <c r="E1974" s="54" t="s">
        <v>2125</v>
      </c>
      <c r="F1974" s="54" t="s">
        <v>1875</v>
      </c>
    </row>
    <row r="1975" spans="1:6" ht="12" x14ac:dyDescent="0.2">
      <c r="A1975" s="64">
        <v>11201</v>
      </c>
      <c r="B1975" s="54" t="s">
        <v>2126</v>
      </c>
      <c r="C1975" s="54" t="s">
        <v>2127</v>
      </c>
      <c r="D1975" s="53">
        <v>34190</v>
      </c>
      <c r="E1975" s="54" t="s">
        <v>1927</v>
      </c>
      <c r="F1975" s="54" t="s">
        <v>1878</v>
      </c>
    </row>
    <row r="1976" spans="1:6" ht="12" x14ac:dyDescent="0.2">
      <c r="A1976" s="64">
        <v>16088</v>
      </c>
      <c r="B1976" s="54" t="s">
        <v>2128</v>
      </c>
      <c r="C1976" s="54" t="s">
        <v>2129</v>
      </c>
      <c r="D1976" s="53">
        <v>43710</v>
      </c>
      <c r="E1976" s="54" t="s">
        <v>2128</v>
      </c>
      <c r="F1976" s="54" t="s">
        <v>1870</v>
      </c>
    </row>
    <row r="1977" spans="1:6" ht="12" x14ac:dyDescent="0.2">
      <c r="A1977" s="64">
        <v>16344</v>
      </c>
      <c r="B1977" s="54" t="s">
        <v>2130</v>
      </c>
      <c r="C1977" s="54" t="s">
        <v>1978</v>
      </c>
      <c r="D1977" s="53">
        <v>10190</v>
      </c>
      <c r="E1977" s="54" t="s">
        <v>671</v>
      </c>
      <c r="F1977" s="54" t="s">
        <v>1866</v>
      </c>
    </row>
    <row r="1978" spans="1:6" ht="12" x14ac:dyDescent="0.2">
      <c r="A1978" s="64">
        <v>17307</v>
      </c>
      <c r="B1978" s="54" t="s">
        <v>696</v>
      </c>
      <c r="C1978" s="54" t="s">
        <v>1993</v>
      </c>
      <c r="D1978" s="53">
        <v>16730</v>
      </c>
      <c r="E1978" s="54" t="s">
        <v>696</v>
      </c>
      <c r="F1978" s="54" t="s">
        <v>176</v>
      </c>
    </row>
    <row r="1979" spans="1:6" ht="12" x14ac:dyDescent="0.2">
      <c r="A1979" s="64">
        <v>16008</v>
      </c>
      <c r="B1979" s="54" t="s">
        <v>649</v>
      </c>
      <c r="C1979" s="54" t="s">
        <v>1992</v>
      </c>
      <c r="D1979" s="53">
        <v>49770</v>
      </c>
      <c r="E1979" s="54" t="s">
        <v>650</v>
      </c>
      <c r="F1979" s="54" t="s">
        <v>123</v>
      </c>
    </row>
    <row r="1980" spans="1:6" ht="12" x14ac:dyDescent="0.2">
      <c r="A1980" s="64">
        <v>22912</v>
      </c>
      <c r="B1980" s="54" t="s">
        <v>2131</v>
      </c>
      <c r="C1980" s="54" t="s">
        <v>2132</v>
      </c>
      <c r="D1980" s="53">
        <v>13500</v>
      </c>
      <c r="E1980" s="54" t="s">
        <v>2133</v>
      </c>
      <c r="F1980" s="54" t="s">
        <v>211</v>
      </c>
    </row>
    <row r="1981" spans="1:6" ht="12" x14ac:dyDescent="0.2">
      <c r="A1981" s="64">
        <v>19493</v>
      </c>
      <c r="B1981" s="54" t="s">
        <v>2134</v>
      </c>
      <c r="C1981" s="54" t="s">
        <v>2135</v>
      </c>
      <c r="D1981" s="53">
        <v>21110</v>
      </c>
      <c r="E1981" s="54" t="s">
        <v>2134</v>
      </c>
      <c r="F1981" s="54" t="s">
        <v>1869</v>
      </c>
    </row>
    <row r="1982" spans="1:6" ht="12" x14ac:dyDescent="0.2">
      <c r="A1982" s="64">
        <v>21832</v>
      </c>
      <c r="B1982" s="54" t="s">
        <v>871</v>
      </c>
      <c r="C1982" s="54" t="s">
        <v>2136</v>
      </c>
      <c r="D1982" s="53">
        <v>21440</v>
      </c>
      <c r="E1982" s="54" t="s">
        <v>871</v>
      </c>
      <c r="F1982" s="54" t="s">
        <v>1869</v>
      </c>
    </row>
    <row r="1983" spans="1:6" ht="12" x14ac:dyDescent="0.2">
      <c r="A1983" s="64">
        <v>16729</v>
      </c>
      <c r="B1983" s="54" t="s">
        <v>2137</v>
      </c>
      <c r="C1983" s="54" t="s">
        <v>2138</v>
      </c>
      <c r="D1983" s="53">
        <v>36860</v>
      </c>
      <c r="E1983" s="54" t="s">
        <v>1148</v>
      </c>
      <c r="F1983" s="54" t="s">
        <v>1875</v>
      </c>
    </row>
    <row r="1984" spans="1:6" ht="12" x14ac:dyDescent="0.2">
      <c r="A1984" s="64">
        <v>19124</v>
      </c>
      <c r="B1984" s="54" t="s">
        <v>2139</v>
      </c>
      <c r="C1984" s="54" t="s">
        <v>2140</v>
      </c>
      <c r="D1984" s="53">
        <v>30593</v>
      </c>
      <c r="E1984" s="54" t="s">
        <v>270</v>
      </c>
      <c r="F1984" s="54" t="s">
        <v>1867</v>
      </c>
    </row>
    <row r="1985" spans="1:6" ht="12" x14ac:dyDescent="0.2">
      <c r="A1985" s="64">
        <v>19124</v>
      </c>
      <c r="B1985" s="54" t="s">
        <v>2141</v>
      </c>
      <c r="C1985" s="54" t="s">
        <v>2142</v>
      </c>
      <c r="D1985" s="53">
        <v>50210</v>
      </c>
      <c r="E1985" s="54" t="s">
        <v>2143</v>
      </c>
      <c r="F1985" s="54" t="s">
        <v>1864</v>
      </c>
    </row>
  </sheetData>
  <autoFilter ref="A1:F1985" xr:uid="{00000000-0009-0000-0000-000004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Presupuesto Ciete</vt:lpstr>
      <vt:lpstr>Exportar CSV Comas</vt:lpstr>
      <vt:lpstr>Cuadro</vt:lpstr>
      <vt:lpstr>TARIFARIO</vt:lpstr>
      <vt:lpstr>Listado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CESAR.GARCIA</dc:creator>
  <cp:lastModifiedBy>César</cp:lastModifiedBy>
  <cp:lastPrinted>2019-02-26T14:55:41Z</cp:lastPrinted>
  <dcterms:created xsi:type="dcterms:W3CDTF">2015-11-19T14:45:26Z</dcterms:created>
  <dcterms:modified xsi:type="dcterms:W3CDTF">2026-05-06T13:13:40Z</dcterms:modified>
</cp:coreProperties>
</file>